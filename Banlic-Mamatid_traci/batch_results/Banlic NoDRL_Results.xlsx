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sz val="10"/>
    </font>
    <font>
      <name val="Arial"/>
      <b val="1"/>
      <color rgb="002E4057"/>
      <sz val="11"/>
    </font>
    <font>
      <name val="Arial"/>
      <b val="1"/>
      <sz val="10"/>
    </font>
    <font>
      <name val="Arial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2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2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2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  <col width="22" customWidth="1" min="5" max="5"/>
  </cols>
  <sheetData>
    <row r="1" ht="24" customHeight="1">
      <c r="A1" s="1" t="inlineStr">
        <is>
          <t>Banlic-Mamatid Signalized — NoDRL Batch Test Results</t>
        </is>
      </c>
    </row>
    <row r="2" ht="16" customHeight="1">
      <c r="A2" s="2" t="inlineStr">
        <is>
          <t>30 Runs  |  10 Normal  •  10 Slow  •  10 Jam  |  Fixed signal timing</t>
        </is>
      </c>
    </row>
    <row r="3" ht="18" customHeight="1">
      <c r="A3" s="3" t="inlineStr">
        <is>
          <t>Run</t>
        </is>
      </c>
      <c r="B3" s="3" t="inlineStr">
        <is>
          <t>Mean Veh. Time Loss (s)</t>
        </is>
      </c>
      <c r="C3" s="3" t="inlineStr">
        <is>
          <t>Mean Ped. Time Loss (s)</t>
        </is>
      </c>
      <c r="D3" s="3" t="inlineStr">
        <is>
          <t>Mean Queue Length (m)</t>
        </is>
      </c>
      <c r="E3" s="3" t="inlineStr">
        <is>
          <t>Throughput (veh/hr)</t>
        </is>
      </c>
    </row>
    <row r="4" ht="15" customHeight="1">
      <c r="A4" s="4" t="inlineStr">
        <is>
          <t>— NORMAL TRAFFIC SCENARIOS —</t>
        </is>
      </c>
    </row>
    <row r="5" ht="14" customHeight="1">
      <c r="A5" s="5" t="inlineStr">
        <is>
          <t>Normal 1</t>
        </is>
      </c>
      <c r="B5" s="6" t="n">
        <v>68.1099</v>
      </c>
      <c r="C5" s="6" t="n">
        <v>118.9862</v>
      </c>
      <c r="D5" s="6" t="n">
        <v>9.5753</v>
      </c>
      <c r="E5" s="6" t="n">
        <v>2023.4451</v>
      </c>
    </row>
    <row r="6" ht="14" customHeight="1">
      <c r="A6" s="5" t="inlineStr">
        <is>
          <t>Normal 2</t>
        </is>
      </c>
      <c r="B6" s="6" t="n">
        <v>68.7739</v>
      </c>
      <c r="C6" s="6" t="n">
        <v>111.2709</v>
      </c>
      <c r="D6" s="6" t="n">
        <v>10.3036</v>
      </c>
      <c r="E6" s="6" t="n">
        <v>2000.981</v>
      </c>
    </row>
    <row r="7" ht="14" customHeight="1">
      <c r="A7" s="5" t="inlineStr">
        <is>
          <t>Normal 3</t>
        </is>
      </c>
      <c r="B7" s="6" t="n">
        <v>71.1678</v>
      </c>
      <c r="C7" s="6" t="n">
        <v>109.9898</v>
      </c>
      <c r="D7" s="6" t="n">
        <v>10.0425</v>
      </c>
      <c r="E7" s="6" t="n">
        <v>2039.2318</v>
      </c>
    </row>
    <row r="8" ht="14" customHeight="1">
      <c r="A8" s="5" t="inlineStr">
        <is>
          <t>Normal 4</t>
        </is>
      </c>
      <c r="B8" s="6" t="n">
        <v>69.289</v>
      </c>
      <c r="C8" s="6" t="n">
        <v>116.2532</v>
      </c>
      <c r="D8" s="6" t="n">
        <v>9.540100000000001</v>
      </c>
      <c r="E8" s="6" t="n">
        <v>1983.207</v>
      </c>
    </row>
    <row r="9" ht="14" customHeight="1">
      <c r="A9" s="5" t="inlineStr">
        <is>
          <t>Normal 5</t>
        </is>
      </c>
      <c r="B9" s="6" t="n">
        <v>68.3159</v>
      </c>
      <c r="C9" s="6" t="n">
        <v>112.6256</v>
      </c>
      <c r="D9" s="6" t="n">
        <v>9.6767</v>
      </c>
      <c r="E9" s="6" t="n">
        <v>1930.847</v>
      </c>
    </row>
    <row r="10" ht="14" customHeight="1">
      <c r="A10" s="5" t="inlineStr">
        <is>
          <t>Normal 6</t>
        </is>
      </c>
      <c r="B10" s="6" t="n">
        <v>70.1515</v>
      </c>
      <c r="C10" s="6" t="n">
        <v>110.9349</v>
      </c>
      <c r="D10" s="6" t="n">
        <v>11.2638</v>
      </c>
      <c r="E10" s="6" t="n">
        <v>2120.9943</v>
      </c>
    </row>
    <row r="11" ht="14" customHeight="1">
      <c r="A11" s="5" t="inlineStr">
        <is>
          <t>Normal 7</t>
        </is>
      </c>
      <c r="B11" s="6" t="n">
        <v>69.66679999999999</v>
      </c>
      <c r="C11" s="6" t="n">
        <v>118.0509</v>
      </c>
      <c r="D11" s="6" t="n">
        <v>10.2735</v>
      </c>
      <c r="E11" s="6" t="n">
        <v>2052.3997</v>
      </c>
    </row>
    <row r="12" ht="14" customHeight="1">
      <c r="A12" s="5" t="inlineStr">
        <is>
          <t>Normal 8</t>
        </is>
      </c>
      <c r="B12" s="6" t="n">
        <v>72.1746</v>
      </c>
      <c r="C12" s="6" t="n">
        <v>116.0841</v>
      </c>
      <c r="D12" s="6" t="n">
        <v>10.5221</v>
      </c>
      <c r="E12" s="6" t="n">
        <v>2079.092</v>
      </c>
    </row>
    <row r="13" ht="14" customHeight="1">
      <c r="A13" s="5" t="inlineStr">
        <is>
          <t>Normal 9</t>
        </is>
      </c>
      <c r="B13" s="6" t="n">
        <v>70.035</v>
      </c>
      <c r="C13" s="6" t="n">
        <v>106.5876</v>
      </c>
      <c r="D13" s="6" t="n">
        <v>10.5484</v>
      </c>
      <c r="E13" s="6" t="n">
        <v>2081.6452</v>
      </c>
    </row>
    <row r="14" ht="14" customHeight="1">
      <c r="A14" s="5" t="inlineStr">
        <is>
          <t>Normal 10</t>
        </is>
      </c>
      <c r="B14" s="6" t="n">
        <v>70.6138</v>
      </c>
      <c r="C14" s="6" t="n">
        <v>114.7528</v>
      </c>
      <c r="D14" s="6" t="n">
        <v>9.9278</v>
      </c>
      <c r="E14" s="6" t="n">
        <v>2034.5022</v>
      </c>
    </row>
    <row r="15" ht="15" customHeight="1">
      <c r="A15" s="7" t="inlineStr">
        <is>
          <t>— SLOW TRAFFIC SCENARIOS —</t>
        </is>
      </c>
    </row>
    <row r="16" ht="14" customHeight="1">
      <c r="A16" s="8" t="inlineStr">
        <is>
          <t>Slow 1</t>
        </is>
      </c>
      <c r="B16" s="9" t="n">
        <v>179.8554</v>
      </c>
      <c r="C16" s="9" t="n">
        <v>136.1956</v>
      </c>
      <c r="D16" s="9" t="n">
        <v>36.364</v>
      </c>
      <c r="E16" s="9" t="n">
        <v>4664.2538</v>
      </c>
    </row>
    <row r="17" ht="14" customHeight="1">
      <c r="A17" s="8" t="inlineStr">
        <is>
          <t>Slow 2</t>
        </is>
      </c>
      <c r="B17" s="9" t="n">
        <v>109.8539</v>
      </c>
      <c r="C17" s="9" t="n">
        <v>129.0713</v>
      </c>
      <c r="D17" s="9" t="n">
        <v>29.7464</v>
      </c>
      <c r="E17" s="9" t="n">
        <v>4277.985</v>
      </c>
    </row>
    <row r="18" ht="14" customHeight="1">
      <c r="A18" s="8" t="inlineStr">
        <is>
          <t>Slow 3</t>
        </is>
      </c>
      <c r="B18" s="9" t="n">
        <v>128.5555</v>
      </c>
      <c r="C18" s="9" t="n">
        <v>136.6993</v>
      </c>
      <c r="D18" s="9" t="n">
        <v>34.2194</v>
      </c>
      <c r="E18" s="9" t="n">
        <v>4374.502</v>
      </c>
    </row>
    <row r="19" ht="14" customHeight="1">
      <c r="A19" s="8" t="inlineStr">
        <is>
          <t>Slow 4</t>
        </is>
      </c>
      <c r="B19" s="9" t="n">
        <v>101.5887</v>
      </c>
      <c r="C19" s="9" t="n">
        <v>125.3454</v>
      </c>
      <c r="D19" s="9" t="n">
        <v>28.0558</v>
      </c>
      <c r="E19" s="9" t="n">
        <v>4216.0585</v>
      </c>
    </row>
    <row r="20" ht="14" customHeight="1">
      <c r="A20" s="8" t="inlineStr">
        <is>
          <t>Slow 5</t>
        </is>
      </c>
      <c r="B20" s="9" t="n">
        <v>110.8159</v>
      </c>
      <c r="C20" s="9" t="n">
        <v>121.8455</v>
      </c>
      <c r="D20" s="9" t="n">
        <v>30.0934</v>
      </c>
      <c r="E20" s="9" t="n">
        <v>4282.7724</v>
      </c>
    </row>
    <row r="21" ht="14" customHeight="1">
      <c r="A21" s="8" t="inlineStr">
        <is>
          <t>Slow 6</t>
        </is>
      </c>
      <c r="B21" s="9" t="n">
        <v>133.9924</v>
      </c>
      <c r="C21" s="9" t="n">
        <v>129.4708</v>
      </c>
      <c r="D21" s="9" t="n">
        <v>31.8825</v>
      </c>
      <c r="E21" s="9" t="n">
        <v>4279.0124</v>
      </c>
    </row>
    <row r="22" ht="14" customHeight="1">
      <c r="A22" s="8" t="inlineStr">
        <is>
          <t>Slow 7</t>
        </is>
      </c>
      <c r="B22" s="9" t="n">
        <v>92.5796</v>
      </c>
      <c r="C22" s="9" t="n">
        <v>115.6039</v>
      </c>
      <c r="D22" s="9" t="n">
        <v>28.9044</v>
      </c>
      <c r="E22" s="9" t="n">
        <v>4248.6751</v>
      </c>
    </row>
    <row r="23" ht="14" customHeight="1">
      <c r="A23" s="8" t="inlineStr">
        <is>
          <t>Slow 8</t>
        </is>
      </c>
      <c r="B23" s="9" t="n">
        <v>91.8663</v>
      </c>
      <c r="C23" s="9" t="n">
        <v>123.5552</v>
      </c>
      <c r="D23" s="9" t="n">
        <v>29.0218</v>
      </c>
      <c r="E23" s="9" t="n">
        <v>4409.0642</v>
      </c>
    </row>
    <row r="24" ht="14" customHeight="1">
      <c r="A24" s="8" t="inlineStr">
        <is>
          <t>Slow 9</t>
        </is>
      </c>
      <c r="B24" s="9" t="n">
        <v>99.22410000000001</v>
      </c>
      <c r="C24" s="9" t="n">
        <v>128.5628</v>
      </c>
      <c r="D24" s="9" t="n">
        <v>29.9197</v>
      </c>
      <c r="E24" s="9" t="n">
        <v>4236.5393</v>
      </c>
    </row>
    <row r="25" ht="14" customHeight="1">
      <c r="A25" s="8" t="inlineStr">
        <is>
          <t>Slow 10</t>
        </is>
      </c>
      <c r="B25" s="9" t="n">
        <v>157.4948</v>
      </c>
      <c r="C25" s="9" t="n">
        <v>137.9377</v>
      </c>
      <c r="D25" s="9" t="n">
        <v>34.8909</v>
      </c>
      <c r="E25" s="9" t="n">
        <v>4518.9199</v>
      </c>
    </row>
    <row r="26" ht="15" customHeight="1">
      <c r="A26" s="10" t="inlineStr">
        <is>
          <t>— JAM TRAFFIC SCENARIOS —</t>
        </is>
      </c>
    </row>
    <row r="27" ht="14" customHeight="1">
      <c r="A27" s="11" t="inlineStr">
        <is>
          <t>Jam 1</t>
        </is>
      </c>
      <c r="B27" s="12" t="n">
        <v>578.0872000000001</v>
      </c>
      <c r="C27" s="12" t="n">
        <v>140.2409</v>
      </c>
      <c r="D27" s="12" t="n">
        <v>46.2701</v>
      </c>
      <c r="E27" s="12" t="n">
        <v>5022.739</v>
      </c>
    </row>
    <row r="28" ht="14" customHeight="1">
      <c r="A28" s="11" t="inlineStr">
        <is>
          <t>Jam 2</t>
        </is>
      </c>
      <c r="B28" s="12" t="n">
        <v>548.9811999999999</v>
      </c>
      <c r="C28" s="12" t="n">
        <v>146.5978</v>
      </c>
      <c r="D28" s="12" t="n">
        <v>45.5012</v>
      </c>
      <c r="E28" s="12" t="n">
        <v>5142.0747</v>
      </c>
    </row>
    <row r="29" ht="14" customHeight="1">
      <c r="A29" s="11" t="inlineStr">
        <is>
          <t>Jam 3</t>
        </is>
      </c>
      <c r="B29" s="12" t="n">
        <v>582.9439</v>
      </c>
      <c r="C29" s="12" t="n">
        <v>145.1572</v>
      </c>
      <c r="D29" s="12" t="n">
        <v>44.336</v>
      </c>
      <c r="E29" s="12" t="n">
        <v>5152.0842</v>
      </c>
    </row>
    <row r="30" ht="14" customHeight="1">
      <c r="A30" s="11" t="inlineStr">
        <is>
          <t>Jam 4</t>
        </is>
      </c>
      <c r="B30" s="12" t="n">
        <v>587.5399</v>
      </c>
      <c r="C30" s="12" t="n">
        <v>128.2897</v>
      </c>
      <c r="D30" s="12" t="n">
        <v>39.9606</v>
      </c>
      <c r="E30" s="12" t="n">
        <v>4726.8311</v>
      </c>
    </row>
    <row r="31" ht="14" customHeight="1">
      <c r="A31" s="11" t="inlineStr">
        <is>
          <t>Jam 5</t>
        </is>
      </c>
      <c r="B31" s="12" t="n">
        <v>616.2147</v>
      </c>
      <c r="C31" s="12" t="n">
        <v>147.6737</v>
      </c>
      <c r="D31" s="12" t="n">
        <v>48.0973</v>
      </c>
      <c r="E31" s="12" t="n">
        <v>5196.724</v>
      </c>
    </row>
    <row r="32" ht="14" customHeight="1">
      <c r="A32" s="11" t="inlineStr">
        <is>
          <t>Jam 6</t>
        </is>
      </c>
      <c r="B32" s="12" t="n">
        <v>590.022</v>
      </c>
      <c r="C32" s="12" t="n">
        <v>132.5524</v>
      </c>
      <c r="D32" s="12" t="n">
        <v>44.1365</v>
      </c>
      <c r="E32" s="12" t="n">
        <v>4716.0861</v>
      </c>
    </row>
    <row r="33" ht="14" customHeight="1">
      <c r="A33" s="11" t="inlineStr">
        <is>
          <t>Jam 7</t>
        </is>
      </c>
      <c r="B33" s="12" t="n">
        <v>610.0405</v>
      </c>
      <c r="C33" s="12" t="n">
        <v>1107.3776</v>
      </c>
      <c r="D33" s="12" t="n">
        <v>28.9455</v>
      </c>
      <c r="E33" s="12" t="n">
        <v>3009.7477</v>
      </c>
    </row>
    <row r="34" ht="14" customHeight="1">
      <c r="A34" s="11" t="inlineStr">
        <is>
          <t>Jam 8</t>
        </is>
      </c>
      <c r="B34" s="12" t="n">
        <v>513.5242</v>
      </c>
      <c r="C34" s="12" t="n">
        <v>126.5667</v>
      </c>
      <c r="D34" s="12" t="n">
        <v>39.126</v>
      </c>
      <c r="E34" s="12" t="n">
        <v>4616.7691</v>
      </c>
    </row>
    <row r="35" ht="14" customHeight="1">
      <c r="A35" s="11" t="inlineStr">
        <is>
          <t>Jam 9</t>
        </is>
      </c>
      <c r="B35" s="12" t="n">
        <v>547.4767000000001</v>
      </c>
      <c r="C35" s="12" t="n">
        <v>154.2922</v>
      </c>
      <c r="D35" s="12" t="n">
        <v>47.6256</v>
      </c>
      <c r="E35" s="12" t="n">
        <v>5040.4917</v>
      </c>
    </row>
    <row r="36" ht="14" customHeight="1">
      <c r="A36" s="11" t="inlineStr">
        <is>
          <t>Jam 10</t>
        </is>
      </c>
      <c r="B36" s="12" t="n">
        <v>641.2744</v>
      </c>
      <c r="C36" s="12" t="n">
        <v>147.6029</v>
      </c>
      <c r="D36" s="12" t="n">
        <v>48.3845</v>
      </c>
      <c r="E36" s="12" t="n">
        <v>5036.0957</v>
      </c>
    </row>
    <row r="38" ht="18" customHeight="1">
      <c r="A38" s="13" t="inlineStr">
        <is>
          <t>SCENARIO SUMMARIES</t>
        </is>
      </c>
    </row>
    <row r="39" ht="16" customHeight="1">
      <c r="A39" s="3" t="inlineStr">
        <is>
          <t>Scenario</t>
        </is>
      </c>
      <c r="B39" s="3" t="inlineStr">
        <is>
          <t>Mean Veh. Time Loss (s)</t>
        </is>
      </c>
      <c r="C39" s="3" t="inlineStr">
        <is>
          <t>Mean Ped. Time Loss (s)</t>
        </is>
      </c>
      <c r="D39" s="3" t="inlineStr">
        <is>
          <t>Mean Queue Length (m)</t>
        </is>
      </c>
      <c r="E39" s="3" t="inlineStr">
        <is>
          <t>Throughput (veh/hr)</t>
        </is>
      </c>
    </row>
    <row r="40" ht="14" customHeight="1">
      <c r="A40" s="14" t="inlineStr">
        <is>
          <t>Normal Traffic</t>
        </is>
      </c>
      <c r="B40" s="15">
        <f>AVERAGE(B5:B14)</f>
        <v/>
      </c>
      <c r="C40" s="15">
        <f>AVERAGE(C5:C14)</f>
        <v/>
      </c>
      <c r="D40" s="15">
        <f>AVERAGE(D5:D14)</f>
        <v/>
      </c>
      <c r="E40" s="15">
        <f>AVERAGE(E5:E14)</f>
        <v/>
      </c>
    </row>
    <row r="41" ht="14" customHeight="1">
      <c r="A41" s="16" t="inlineStr">
        <is>
          <t>Slow Traffic</t>
        </is>
      </c>
      <c r="B41" s="17">
        <f>AVERAGE(B16:B25)</f>
        <v/>
      </c>
      <c r="C41" s="17">
        <f>AVERAGE(C16:C25)</f>
        <v/>
      </c>
      <c r="D41" s="17">
        <f>AVERAGE(D16:D25)</f>
        <v/>
      </c>
      <c r="E41" s="17">
        <f>AVERAGE(E16:E25)</f>
        <v/>
      </c>
    </row>
    <row r="42" ht="14" customHeight="1">
      <c r="A42" s="18" t="inlineStr">
        <is>
          <t>Jam Traffic</t>
        </is>
      </c>
      <c r="B42" s="19">
        <f>AVERAGE(B27:B36)</f>
        <v/>
      </c>
      <c r="C42" s="19">
        <f>AVERAGE(C27:C36)</f>
        <v/>
      </c>
      <c r="D42" s="19">
        <f>AVERAGE(D27:D36)</f>
        <v/>
      </c>
      <c r="E42" s="19">
        <f>AVERAGE(E27:E36)</f>
        <v/>
      </c>
    </row>
    <row r="44" ht="16" customHeight="1">
      <c r="A44" s="20" t="inlineStr">
        <is>
          <t>OVERALL MEAN (all 30 runs)</t>
        </is>
      </c>
    </row>
    <row r="45" ht="14" customHeight="1">
      <c r="A45" s="21" t="inlineStr">
        <is>
          <t>All Scenarios</t>
        </is>
      </c>
      <c r="B45" s="22">
        <f>AVERAGE(B5,B6,B7,B8,B9,B10,B11,B12,B13,B14,B16,B17,B18,B19,B20,B21,B22,B23,B24,B25,B27,B28,B29,B30,B31,B32,B33,B34,B35,B36)</f>
        <v/>
      </c>
      <c r="C45" s="22">
        <f>AVERAGE(C5,C6,C7,C8,C9,C10,C11,C12,C13,C14,C16,C17,C18,C19,C20,C21,C22,C23,C24,C25,C27,C28,C29,C30,C31,C32,C33,C34,C35,C36)</f>
        <v/>
      </c>
      <c r="D45" s="22">
        <f>AVERAGE(D5,D6,D7,D8,D9,D10,D11,D12,D13,D14,D16,D17,D18,D19,D20,D21,D22,D23,D24,D25,D27,D28,D29,D30,D31,D32,D33,D34,D35,D36)</f>
        <v/>
      </c>
      <c r="E45" s="22">
        <f>AVERAGE(E5,E6,E7,E8,E9,E10,E11,E12,E13,E14,E16,E17,E18,E19,E20,E21,E22,E23,E24,E25,E27,E28,E29,E30,E31,E32,E33,E34,E35,E36)</f>
        <v/>
      </c>
    </row>
  </sheetData>
  <mergeCells count="7">
    <mergeCell ref="A4:E4"/>
    <mergeCell ref="A26:E26"/>
    <mergeCell ref="A38:E38"/>
    <mergeCell ref="A2:E2"/>
    <mergeCell ref="A15:E15"/>
    <mergeCell ref="A1:E1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2026-03-20T18:06:17Z</dcterms:created>
  <dcterms:modified xsi:type="dcterms:W3CDTF">2026-03-20T18:06:18Z</dcterms:modified>
</cp:coreProperties>
</file>
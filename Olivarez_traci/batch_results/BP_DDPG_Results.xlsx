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lt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sz val="13"/>
    </font>
    <font>
      <name val="Arial"/>
      <i val="1"/>
      <color rgb="00555555"/>
      <sz val="10"/>
    </font>
    <font>
      <name val="Arial"/>
      <b val="1"/>
      <color rgb="00FFFFFF"/>
      <sz val="11"/>
    </font>
    <font>
      <name val="Arial"/>
      <b val="1"/>
      <color rgb="00333333"/>
      <sz val="10"/>
    </font>
    <font>
      <name val="Arial"/>
      <sz val="10"/>
    </font>
    <font>
      <name val="Arial"/>
      <b val="1"/>
      <color rgb="002E4057"/>
      <sz val="11"/>
    </font>
    <font>
      <name val="Arial"/>
      <b val="1"/>
      <sz val="10"/>
    </font>
    <font>
      <name val="Arial"/>
      <b val="1"/>
      <color rgb="001B5E20"/>
      <sz val="10"/>
    </font>
  </fonts>
  <fills count="7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D6E4F7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D5E8D4"/>
      </patternFill>
    </fill>
  </fills>
  <borders count="2">
    <border>
      <left/>
      <right/>
      <top/>
      <bottom/>
      <diagonal/>
    </border>
    <border>
      <left style="thin">
        <color rgb="00AAAAAA"/>
      </left>
      <right style="thin">
        <color rgb="00AAAAAA"/>
      </right>
      <top style="thin">
        <color rgb="00AAAAAA"/>
      </top>
      <bottom style="thin">
        <color rgb="00AAAAAA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/>
    </xf>
    <xf numFmtId="2" fontId="5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left" vertical="center"/>
    </xf>
    <xf numFmtId="2" fontId="5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left" vertical="center"/>
    </xf>
    <xf numFmtId="2" fontId="5" fillId="5" borderId="1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3" borderId="1" applyAlignment="1" pivotButton="0" quotePrefix="0" xfId="0">
      <alignment horizontal="left" vertical="center"/>
    </xf>
    <xf numFmtId="2" fontId="7" fillId="3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left" vertical="center"/>
    </xf>
    <xf numFmtId="2" fontId="7" fillId="4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left" vertical="center"/>
    </xf>
    <xf numFmtId="2" fontId="7" fillId="5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2" fontId="7" fillId="6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4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22" customWidth="1" min="2" max="2"/>
    <col width="26" customWidth="1" min="3" max="3"/>
    <col width="22" customWidth="1" min="4" max="4"/>
    <col width="22" customWidth="1" min="5" max="5"/>
  </cols>
  <sheetData>
    <row r="1" ht="24" customHeight="1">
      <c r="A1" s="1" t="inlineStr">
        <is>
          <t>Baseline Pedestrian — DDPG Batch Test Results</t>
        </is>
      </c>
    </row>
    <row r="2" ht="16" customHeight="1">
      <c r="A2" s="2" t="inlineStr">
        <is>
          <t>30 Runs  |  10 Normal  •  10 Slow  •  10 Traffic Jam  |  DDPG trained model (test mode)</t>
        </is>
      </c>
    </row>
    <row r="3" ht="18" customHeight="1">
      <c r="A3" s="3" t="inlineStr">
        <is>
          <t>Run</t>
        </is>
      </c>
      <c r="B3" s="3" t="inlineStr">
        <is>
          <t>Mean Veh. Time Loss (s)</t>
        </is>
      </c>
      <c r="C3" s="3" t="inlineStr">
        <is>
          <t>Mean Ped. Time Loss (s)</t>
        </is>
      </c>
      <c r="D3" s="3" t="inlineStr">
        <is>
          <t>Mean Queue Length (m)</t>
        </is>
      </c>
      <c r="E3" s="3" t="inlineStr">
        <is>
          <t>Throughput (veh/hr)</t>
        </is>
      </c>
    </row>
    <row r="4" ht="15" customHeight="1">
      <c r="A4" s="4" t="inlineStr">
        <is>
          <t>— NORMAL TRAFFIC SCENARIOS —</t>
        </is>
      </c>
    </row>
    <row r="5" ht="14" customHeight="1">
      <c r="A5" s="5" t="inlineStr">
        <is>
          <t>Normal 1</t>
        </is>
      </c>
      <c r="B5" s="6" t="n">
        <v>51.2896</v>
      </c>
      <c r="C5" s="6" t="n">
        <v>22.775</v>
      </c>
      <c r="D5" s="6" t="n">
        <v>4.7094</v>
      </c>
      <c r="E5" s="6" t="n">
        <v>16067.9289</v>
      </c>
    </row>
    <row r="6" ht="14" customHeight="1">
      <c r="A6" s="5" t="inlineStr">
        <is>
          <t>Normal 2</t>
        </is>
      </c>
      <c r="B6" s="6" t="n">
        <v>51.062</v>
      </c>
      <c r="C6" s="6" t="n">
        <v>22.263</v>
      </c>
      <c r="D6" s="6" t="n">
        <v>5.1795</v>
      </c>
      <c r="E6" s="6" t="n">
        <v>17124.7689</v>
      </c>
    </row>
    <row r="7" ht="14" customHeight="1">
      <c r="A7" s="5" t="inlineStr">
        <is>
          <t>Normal 3</t>
        </is>
      </c>
      <c r="B7" s="6" t="n">
        <v>51.1839</v>
      </c>
      <c r="C7" s="6" t="n">
        <v>22.5972</v>
      </c>
      <c r="D7" s="6" t="n">
        <v>5.0979</v>
      </c>
      <c r="E7" s="6" t="n">
        <v>16917.4761</v>
      </c>
    </row>
    <row r="8" ht="14" customHeight="1">
      <c r="A8" s="5" t="inlineStr">
        <is>
          <t>Normal 4</t>
        </is>
      </c>
      <c r="B8" s="6" t="n">
        <v>52.1625</v>
      </c>
      <c r="C8" s="6" t="n">
        <v>23.4526</v>
      </c>
      <c r="D8" s="6" t="n">
        <v>4.8428</v>
      </c>
      <c r="E8" s="6" t="n">
        <v>15898.3909</v>
      </c>
    </row>
    <row r="9" ht="14" customHeight="1">
      <c r="A9" s="5" t="inlineStr">
        <is>
          <t>Normal 5</t>
        </is>
      </c>
      <c r="B9" s="6" t="n">
        <v>52.7277</v>
      </c>
      <c r="C9" s="6" t="n">
        <v>23.7321</v>
      </c>
      <c r="D9" s="6" t="n">
        <v>5.7622</v>
      </c>
      <c r="E9" s="6" t="n">
        <v>17012.2994</v>
      </c>
    </row>
    <row r="10" ht="14" customHeight="1">
      <c r="A10" s="5" t="inlineStr">
        <is>
          <t>Normal 6</t>
        </is>
      </c>
      <c r="B10" s="6" t="n">
        <v>53.8072</v>
      </c>
      <c r="C10" s="6" t="n">
        <v>22.4477</v>
      </c>
      <c r="D10" s="6" t="n">
        <v>5.4862</v>
      </c>
      <c r="E10" s="6" t="n">
        <v>17139.5846</v>
      </c>
    </row>
    <row r="11" ht="14" customHeight="1">
      <c r="A11" s="5" t="inlineStr">
        <is>
          <t>Normal 7</t>
        </is>
      </c>
      <c r="B11" s="6" t="n">
        <v>53.2721</v>
      </c>
      <c r="C11" s="6" t="n">
        <v>22.7823</v>
      </c>
      <c r="D11" s="6" t="n">
        <v>5.2532</v>
      </c>
      <c r="E11" s="6" t="n">
        <v>16580.7908</v>
      </c>
    </row>
    <row r="12" ht="14" customHeight="1">
      <c r="A12" s="5" t="inlineStr">
        <is>
          <t>Normal 8</t>
        </is>
      </c>
      <c r="B12" s="6" t="n">
        <v>52.6402</v>
      </c>
      <c r="C12" s="6" t="n">
        <v>22.6797</v>
      </c>
      <c r="D12" s="6" t="n">
        <v>5.4731</v>
      </c>
      <c r="E12" s="6" t="n">
        <v>16983.4009</v>
      </c>
    </row>
    <row r="13" ht="14" customHeight="1">
      <c r="A13" s="5" t="inlineStr">
        <is>
          <t>Normal 9</t>
        </is>
      </c>
      <c r="B13" s="6" t="n">
        <v>51.3618</v>
      </c>
      <c r="C13" s="6" t="n">
        <v>22.2926</v>
      </c>
      <c r="D13" s="6" t="n">
        <v>5.0966</v>
      </c>
      <c r="E13" s="6" t="n">
        <v>17510.1112</v>
      </c>
    </row>
    <row r="14" ht="14" customHeight="1">
      <c r="A14" s="5" t="inlineStr">
        <is>
          <t>Normal 10</t>
        </is>
      </c>
      <c r="B14" s="6" t="n">
        <v>54.9159</v>
      </c>
      <c r="C14" s="6" t="n">
        <v>23.4547</v>
      </c>
      <c r="D14" s="6" t="n">
        <v>5.5112</v>
      </c>
      <c r="E14" s="6" t="n">
        <v>16669.7637</v>
      </c>
    </row>
    <row r="15" ht="15" customHeight="1">
      <c r="A15" s="7" t="inlineStr">
        <is>
          <t>— SLOW TRAFFIC SCENARIOS —</t>
        </is>
      </c>
    </row>
    <row r="16" ht="14" customHeight="1">
      <c r="A16" s="8" t="inlineStr">
        <is>
          <t>Slow 1</t>
        </is>
      </c>
      <c r="B16" s="9" t="n">
        <v>69.7803</v>
      </c>
      <c r="C16" s="9" t="n">
        <v>27.6743</v>
      </c>
      <c r="D16" s="9" t="n">
        <v>15.1458</v>
      </c>
      <c r="E16" s="9" t="n">
        <v>32827.9758</v>
      </c>
    </row>
    <row r="17" ht="14" customHeight="1">
      <c r="A17" s="8" t="inlineStr">
        <is>
          <t>Slow 2</t>
        </is>
      </c>
      <c r="B17" s="9" t="n">
        <v>62.0584</v>
      </c>
      <c r="C17" s="9" t="n">
        <v>28.4747</v>
      </c>
      <c r="D17" s="9" t="n">
        <v>12.4266</v>
      </c>
      <c r="E17" s="9" t="n">
        <v>31278.6142</v>
      </c>
    </row>
    <row r="18" ht="14" customHeight="1">
      <c r="A18" s="8" t="inlineStr">
        <is>
          <t>Slow 3</t>
        </is>
      </c>
      <c r="B18" s="9" t="n">
        <v>64.6019</v>
      </c>
      <c r="C18" s="9" t="n">
        <v>28.4903</v>
      </c>
      <c r="D18" s="9" t="n">
        <v>13.153</v>
      </c>
      <c r="E18" s="9" t="n">
        <v>30594.2119</v>
      </c>
    </row>
    <row r="19" ht="14" customHeight="1">
      <c r="A19" s="8" t="inlineStr">
        <is>
          <t>Slow 4</t>
        </is>
      </c>
      <c r="B19" s="9" t="n">
        <v>74.5043</v>
      </c>
      <c r="C19" s="9" t="n">
        <v>36.3597</v>
      </c>
      <c r="D19" s="9" t="n">
        <v>14.9116</v>
      </c>
      <c r="E19" s="9" t="n">
        <v>31565.1427</v>
      </c>
    </row>
    <row r="20" ht="14" customHeight="1">
      <c r="A20" s="8" t="inlineStr">
        <is>
          <t>Slow 5</t>
        </is>
      </c>
      <c r="B20" s="9" t="n">
        <v>61.2449</v>
      </c>
      <c r="C20" s="9" t="n">
        <v>26.2459</v>
      </c>
      <c r="D20" s="9" t="n">
        <v>11.8202</v>
      </c>
      <c r="E20" s="9" t="n">
        <v>29990.5673</v>
      </c>
    </row>
    <row r="21" ht="14" customHeight="1">
      <c r="A21" s="8" t="inlineStr">
        <is>
          <t>Slow 6</t>
        </is>
      </c>
      <c r="B21" s="9" t="n">
        <v>75.7542</v>
      </c>
      <c r="C21" s="9" t="n">
        <v>30.437</v>
      </c>
      <c r="D21" s="9" t="n">
        <v>16.9159</v>
      </c>
      <c r="E21" s="9" t="n">
        <v>33601.1901</v>
      </c>
    </row>
    <row r="22" ht="14" customHeight="1">
      <c r="A22" s="8" t="inlineStr">
        <is>
          <t>Slow 7</t>
        </is>
      </c>
      <c r="B22" s="9" t="n">
        <v>60.386</v>
      </c>
      <c r="C22" s="9" t="n">
        <v>27.3645</v>
      </c>
      <c r="D22" s="9" t="n">
        <v>12.3883</v>
      </c>
      <c r="E22" s="9" t="n">
        <v>31620.6905</v>
      </c>
    </row>
    <row r="23" ht="14" customHeight="1">
      <c r="A23" s="8" t="inlineStr">
        <is>
          <t>Slow 8</t>
        </is>
      </c>
      <c r="B23" s="9" t="n">
        <v>68.2654</v>
      </c>
      <c r="C23" s="9" t="n">
        <v>28.7019</v>
      </c>
      <c r="D23" s="9" t="n">
        <v>15.4388</v>
      </c>
      <c r="E23" s="9" t="n">
        <v>32693.8263</v>
      </c>
    </row>
    <row r="24" ht="14" customHeight="1">
      <c r="A24" s="8" t="inlineStr">
        <is>
          <t>Slow 9</t>
        </is>
      </c>
      <c r="B24" s="9" t="n">
        <v>70.8443</v>
      </c>
      <c r="C24" s="9" t="n">
        <v>31.5796</v>
      </c>
      <c r="D24" s="9" t="n">
        <v>15.7084</v>
      </c>
      <c r="E24" s="9" t="n">
        <v>31828.6403</v>
      </c>
    </row>
    <row r="25" ht="14" customHeight="1">
      <c r="A25" s="8" t="inlineStr">
        <is>
          <t>Slow 10</t>
        </is>
      </c>
      <c r="B25" s="9" t="n">
        <v>62.1376</v>
      </c>
      <c r="C25" s="9" t="n">
        <v>30.0047</v>
      </c>
      <c r="D25" s="9" t="n">
        <v>12.6282</v>
      </c>
      <c r="E25" s="9" t="n">
        <v>30727.5323</v>
      </c>
    </row>
    <row r="26" ht="15" customHeight="1">
      <c r="A26" s="10" t="inlineStr">
        <is>
          <t>— JAM TRAFFIC SCENARIOS —</t>
        </is>
      </c>
    </row>
    <row r="27" ht="14" customHeight="1">
      <c r="A27" s="11" t="inlineStr">
        <is>
          <t>Jam 1</t>
        </is>
      </c>
      <c r="B27" s="12" t="n">
        <v>183.3723</v>
      </c>
      <c r="C27" s="12" t="n">
        <v>30.3218</v>
      </c>
      <c r="D27" s="12" t="n">
        <v>38.0559</v>
      </c>
      <c r="E27" s="12" t="n">
        <v>46263.5117</v>
      </c>
    </row>
    <row r="28" ht="14" customHeight="1">
      <c r="A28" s="11" t="inlineStr">
        <is>
          <t>Jam 2</t>
        </is>
      </c>
      <c r="B28" s="12" t="n">
        <v>185.6201</v>
      </c>
      <c r="C28" s="12" t="n">
        <v>34.4781</v>
      </c>
      <c r="D28" s="12" t="n">
        <v>33.7551</v>
      </c>
      <c r="E28" s="12" t="n">
        <v>44574.6055</v>
      </c>
    </row>
    <row r="29" ht="14" customHeight="1">
      <c r="A29" s="11" t="inlineStr">
        <is>
          <t>Jam 3</t>
        </is>
      </c>
      <c r="B29" s="12" t="n">
        <v>188.0866</v>
      </c>
      <c r="C29" s="12" t="n">
        <v>31.2462</v>
      </c>
      <c r="D29" s="12" t="n">
        <v>39.207</v>
      </c>
      <c r="E29" s="12" t="n">
        <v>48302.4355</v>
      </c>
    </row>
    <row r="30" ht="14" customHeight="1">
      <c r="A30" s="11" t="inlineStr">
        <is>
          <t>Jam 4</t>
        </is>
      </c>
      <c r="B30" s="12" t="n">
        <v>153.3262</v>
      </c>
      <c r="C30" s="12" t="n">
        <v>32.8042</v>
      </c>
      <c r="D30" s="12" t="n">
        <v>36.4797</v>
      </c>
      <c r="E30" s="12" t="n">
        <v>49026.0631</v>
      </c>
    </row>
    <row r="31" ht="14" customHeight="1">
      <c r="A31" s="11" t="inlineStr">
        <is>
          <t>Jam 5</t>
        </is>
      </c>
      <c r="B31" s="12" t="n">
        <v>144.727</v>
      </c>
      <c r="C31" s="12" t="n">
        <v>33.3587</v>
      </c>
      <c r="D31" s="12" t="n">
        <v>38.9599</v>
      </c>
      <c r="E31" s="12" t="n">
        <v>49956.7113</v>
      </c>
    </row>
    <row r="32" ht="14" customHeight="1">
      <c r="A32" s="11" t="inlineStr">
        <is>
          <t>Jam 6</t>
        </is>
      </c>
      <c r="B32" s="12" t="n">
        <v>167.6499</v>
      </c>
      <c r="C32" s="12" t="n">
        <v>30.0982</v>
      </c>
      <c r="D32" s="12" t="n">
        <v>38.8108</v>
      </c>
      <c r="E32" s="12" t="n">
        <v>49142.4076</v>
      </c>
    </row>
    <row r="33" ht="14" customHeight="1">
      <c r="A33" s="11" t="inlineStr">
        <is>
          <t>Jam 7</t>
        </is>
      </c>
      <c r="B33" s="12" t="n">
        <v>196.1031</v>
      </c>
      <c r="C33" s="12" t="n">
        <v>34.2231</v>
      </c>
      <c r="D33" s="12" t="n">
        <v>34.5931</v>
      </c>
      <c r="E33" s="12" t="n">
        <v>44930.7799</v>
      </c>
    </row>
    <row r="34" ht="14" customHeight="1">
      <c r="A34" s="11" t="inlineStr">
        <is>
          <t>Jam 8</t>
        </is>
      </c>
      <c r="B34" s="12" t="n">
        <v>170.3566</v>
      </c>
      <c r="C34" s="12" t="n">
        <v>29.8291</v>
      </c>
      <c r="D34" s="12" t="n">
        <v>38.7154</v>
      </c>
      <c r="E34" s="12" t="n">
        <v>47671.8705</v>
      </c>
    </row>
    <row r="35" ht="14" customHeight="1">
      <c r="A35" s="11" t="inlineStr">
        <is>
          <t>Jam 9</t>
        </is>
      </c>
      <c r="B35" s="12" t="n">
        <v>188.6277</v>
      </c>
      <c r="C35" s="12" t="n">
        <v>32.6732</v>
      </c>
      <c r="D35" s="12" t="n">
        <v>37.6257</v>
      </c>
      <c r="E35" s="12" t="n">
        <v>46703.0123</v>
      </c>
    </row>
    <row r="36" ht="14" customHeight="1">
      <c r="A36" s="11" t="inlineStr">
        <is>
          <t>Jam 10</t>
        </is>
      </c>
      <c r="B36" s="12" t="n">
        <v>167.3803</v>
      </c>
      <c r="C36" s="12" t="n">
        <v>29.0608</v>
      </c>
      <c r="D36" s="12" t="n">
        <v>35.788</v>
      </c>
      <c r="E36" s="12" t="n">
        <v>46933.929</v>
      </c>
    </row>
    <row r="38" ht="18" customHeight="1">
      <c r="A38" s="13" t="inlineStr">
        <is>
          <t>SCENARIO SUMMARIES</t>
        </is>
      </c>
    </row>
    <row r="39" ht="16" customHeight="1">
      <c r="A39" s="3" t="inlineStr">
        <is>
          <t>Scenario</t>
        </is>
      </c>
      <c r="B39" s="3" t="inlineStr">
        <is>
          <t>Mean Veh. Time Loss (s)</t>
        </is>
      </c>
      <c r="C39" s="3" t="inlineStr">
        <is>
          <t>Mean Ped. Time Loss (s)</t>
        </is>
      </c>
      <c r="D39" s="3" t="inlineStr">
        <is>
          <t>Mean Queue Length (m)</t>
        </is>
      </c>
      <c r="E39" s="3" t="inlineStr">
        <is>
          <t>Throughput (veh/hr)</t>
        </is>
      </c>
    </row>
    <row r="40" ht="14" customHeight="1">
      <c r="A40" s="14" t="inlineStr">
        <is>
          <t>Normal Traffic</t>
        </is>
      </c>
      <c r="B40" s="15">
        <f>AVERAGE(B5:B14)</f>
        <v/>
      </c>
      <c r="C40" s="15">
        <f>AVERAGE(C5:C14)</f>
        <v/>
      </c>
      <c r="D40" s="15">
        <f>AVERAGE(D5:D14)</f>
        <v/>
      </c>
      <c r="E40" s="15">
        <f>AVERAGE(E5:E14)</f>
        <v/>
      </c>
    </row>
    <row r="41" ht="14" customHeight="1">
      <c r="A41" s="16" t="inlineStr">
        <is>
          <t>Slow Traffic</t>
        </is>
      </c>
      <c r="B41" s="17">
        <f>AVERAGE(B16:B25)</f>
        <v/>
      </c>
      <c r="C41" s="17">
        <f>AVERAGE(C16:C25)</f>
        <v/>
      </c>
      <c r="D41" s="17">
        <f>AVERAGE(D16:D25)</f>
        <v/>
      </c>
      <c r="E41" s="17">
        <f>AVERAGE(E16:E25)</f>
        <v/>
      </c>
    </row>
    <row r="42" ht="14" customHeight="1">
      <c r="A42" s="18" t="inlineStr">
        <is>
          <t>Jam Traffic</t>
        </is>
      </c>
      <c r="B42" s="19">
        <f>AVERAGE(B27:B36)</f>
        <v/>
      </c>
      <c r="C42" s="19">
        <f>AVERAGE(C27:C36)</f>
        <v/>
      </c>
      <c r="D42" s="19">
        <f>AVERAGE(D27:D36)</f>
        <v/>
      </c>
      <c r="E42" s="19">
        <f>AVERAGE(E27:E36)</f>
        <v/>
      </c>
    </row>
    <row r="44" ht="16" customHeight="1">
      <c r="A44" s="20" t="inlineStr">
        <is>
          <t>OVERALL MEAN (all 30 runs)</t>
        </is>
      </c>
    </row>
    <row r="45" ht="14" customHeight="1">
      <c r="A45" s="21" t="inlineStr">
        <is>
          <t>All Scenarios</t>
        </is>
      </c>
      <c r="B45" s="22">
        <f>AVERAGE(B5,B6,B7,B8,B9,B10,B11,B12,B13,B14,B16,B17,B18,B19,B20,B21,B22,B23,B24,B25,B27,B28,B29,B30,B31,B32,B33,B34,B35,B36)</f>
        <v/>
      </c>
      <c r="C45" s="22">
        <f>AVERAGE(C5,C6,C7,C8,C9,C10,C11,C12,C13,C14,C16,C17,C18,C19,C20,C21,C22,C23,C24,C25,C27,C28,C29,C30,C31,C32,C33,C34,C35,C36)</f>
        <v/>
      </c>
      <c r="D45" s="22">
        <f>AVERAGE(D5,D6,D7,D8,D9,D10,D11,D12,D13,D14,D16,D17,D18,D19,D20,D21,D22,D23,D24,D25,D27,D28,D29,D30,D31,D32,D33,D34,D35,D36)</f>
        <v/>
      </c>
      <c r="E45" s="22">
        <f>AVERAGE(E5,E6,E7,E8,E9,E10,E11,E12,E13,E14,E16,E17,E18,E19,E20,E21,E22,E23,E24,E25,E27,E28,E29,E30,E31,E32,E33,E34,E35,E36)</f>
        <v/>
      </c>
    </row>
  </sheetData>
  <mergeCells count="7">
    <mergeCell ref="A4:E4"/>
    <mergeCell ref="A26:E26"/>
    <mergeCell ref="A38:E38"/>
    <mergeCell ref="A2:E2"/>
    <mergeCell ref="A15:E15"/>
    <mergeCell ref="A1:E1"/>
    <mergeCell ref="A44:E4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2026-03-20T16:52:20Z</dcterms:created>
  <dcterms:modified xsi:type="dcterms:W3CDTF">2026-03-20T16:52:20Z</dcterms:modified>
</cp:coreProperties>
</file>
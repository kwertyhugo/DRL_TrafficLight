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P A2C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333333"/>
      <sz val="10"/>
    </font>
    <font>
      <name val="Arial"/>
      <sz val="10"/>
    </font>
    <font>
      <name val="Arial"/>
      <b val="1"/>
      <color rgb="002E4057"/>
      <sz val="11"/>
    </font>
    <font>
      <name val="Arial"/>
      <b val="1"/>
      <sz val="10"/>
    </font>
    <font>
      <name val="Arial"/>
      <b val="1"/>
      <color rgb="001B5E20"/>
      <sz val="10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2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2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2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2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2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22" customWidth="1" min="4" max="4"/>
    <col width="22" customWidth="1" min="5" max="5"/>
  </cols>
  <sheetData>
    <row r="1" ht="24" customHeight="1">
      <c r="A1" s="1" t="inlineStr">
        <is>
          <t>Baseline Pedestrian — A2C Batch Test Results</t>
        </is>
      </c>
    </row>
    <row r="2" ht="16" customHeight="1">
      <c r="A2" s="2" t="inlineStr">
        <is>
          <t>30 Runs  |  10 Normal  •  10 Slow  •  10 Traffic Jam  |  A2C trained model (test mode)</t>
        </is>
      </c>
    </row>
    <row r="3" ht="18" customHeight="1">
      <c r="A3" s="3" t="inlineStr">
        <is>
          <t>Run</t>
        </is>
      </c>
      <c r="B3" s="3" t="inlineStr">
        <is>
          <t>Mean Veh. Time Loss (s)</t>
        </is>
      </c>
      <c r="C3" s="3" t="inlineStr">
        <is>
          <t>Mean Ped. Time Loss (s)</t>
        </is>
      </c>
      <c r="D3" s="3" t="inlineStr">
        <is>
          <t>Mean Queue Length (m)</t>
        </is>
      </c>
      <c r="E3" s="3" t="inlineStr">
        <is>
          <t>Throughput (veh/hr)</t>
        </is>
      </c>
    </row>
    <row r="4" ht="15" customHeight="1">
      <c r="A4" s="4" t="inlineStr">
        <is>
          <t>— NORMAL TRAFFIC SCENARIOS —</t>
        </is>
      </c>
    </row>
    <row r="5" ht="14" customHeight="1">
      <c r="A5" s="5" t="inlineStr">
        <is>
          <t>Normal 1</t>
        </is>
      </c>
      <c r="B5" s="6" t="n">
        <v>44.1794</v>
      </c>
      <c r="C5" s="6" t="n">
        <v>22.5345</v>
      </c>
      <c r="D5" s="6" t="n">
        <v>4.2616</v>
      </c>
      <c r="E5" s="6" t="n">
        <v>1304.5737</v>
      </c>
    </row>
    <row r="6" ht="14" customHeight="1">
      <c r="A6" s="5" t="inlineStr">
        <is>
          <t>Normal 2</t>
        </is>
      </c>
      <c r="B6" s="6" t="n">
        <v>46.4881</v>
      </c>
      <c r="C6" s="6" t="n">
        <v>24.0513</v>
      </c>
      <c r="D6" s="6" t="n">
        <v>4.7814</v>
      </c>
      <c r="E6" s="6" t="n">
        <v>1347.6949</v>
      </c>
    </row>
    <row r="7" ht="14" customHeight="1">
      <c r="A7" s="5" t="inlineStr">
        <is>
          <t>Normal 3</t>
        </is>
      </c>
      <c r="B7" s="6" t="n">
        <v>43.835</v>
      </c>
      <c r="C7" s="6" t="n">
        <v>23.625</v>
      </c>
      <c r="D7" s="6" t="n">
        <v>4.346</v>
      </c>
      <c r="E7" s="6" t="n">
        <v>1350.1606</v>
      </c>
    </row>
    <row r="8" ht="14" customHeight="1">
      <c r="A8" s="5" t="inlineStr">
        <is>
          <t>Normal 4</t>
        </is>
      </c>
      <c r="B8" s="6" t="n">
        <v>40.3155</v>
      </c>
      <c r="C8" s="6" t="n">
        <v>22.2551</v>
      </c>
      <c r="D8" s="6" t="n">
        <v>3.0368</v>
      </c>
      <c r="E8" s="6" t="n">
        <v>1237.0643</v>
      </c>
    </row>
    <row r="9" ht="14" customHeight="1">
      <c r="A9" s="5" t="inlineStr">
        <is>
          <t>Normal 5</t>
        </is>
      </c>
      <c r="B9" s="6" t="n">
        <v>43.196</v>
      </c>
      <c r="C9" s="6" t="n">
        <v>22.3609</v>
      </c>
      <c r="D9" s="6" t="n">
        <v>4.7386</v>
      </c>
      <c r="E9" s="6" t="n">
        <v>1378.3399</v>
      </c>
    </row>
    <row r="10" ht="14" customHeight="1">
      <c r="A10" s="5" t="inlineStr">
        <is>
          <t>Normal 6</t>
        </is>
      </c>
      <c r="B10" s="6" t="n">
        <v>39.5121</v>
      </c>
      <c r="C10" s="6" t="n">
        <v>22.0561</v>
      </c>
      <c r="D10" s="6" t="n">
        <v>3.2024</v>
      </c>
      <c r="E10" s="6" t="n">
        <v>1298.2961</v>
      </c>
    </row>
    <row r="11" ht="14" customHeight="1">
      <c r="A11" s="5" t="inlineStr">
        <is>
          <t>Normal 7</t>
        </is>
      </c>
      <c r="B11" s="6" t="n">
        <v>43.6856</v>
      </c>
      <c r="C11" s="6" t="n">
        <v>22.0438</v>
      </c>
      <c r="D11" s="6" t="n">
        <v>4.224</v>
      </c>
      <c r="E11" s="6" t="n">
        <v>1305.993</v>
      </c>
    </row>
    <row r="12" ht="14" customHeight="1">
      <c r="A12" s="5" t="inlineStr">
        <is>
          <t>Normal 8</t>
        </is>
      </c>
      <c r="B12" s="6" t="n">
        <v>43.5899</v>
      </c>
      <c r="C12" s="6" t="n">
        <v>23.9543</v>
      </c>
      <c r="D12" s="6" t="n">
        <v>4.6691</v>
      </c>
      <c r="E12" s="6" t="n">
        <v>1337.2255</v>
      </c>
    </row>
    <row r="13" ht="14" customHeight="1">
      <c r="A13" s="5" t="inlineStr">
        <is>
          <t>Normal 9</t>
        </is>
      </c>
      <c r="B13" s="6" t="n">
        <v>40.5291</v>
      </c>
      <c r="C13" s="6" t="n">
        <v>22.116</v>
      </c>
      <c r="D13" s="6" t="n">
        <v>3.4658</v>
      </c>
      <c r="E13" s="6" t="n">
        <v>1347.6975</v>
      </c>
    </row>
    <row r="14" ht="14" customHeight="1">
      <c r="A14" s="5" t="inlineStr">
        <is>
          <t>Normal 10</t>
        </is>
      </c>
      <c r="B14" s="6" t="n">
        <v>41.7991</v>
      </c>
      <c r="C14" s="6" t="n">
        <v>22.7661</v>
      </c>
      <c r="D14" s="6" t="n">
        <v>3.6315</v>
      </c>
      <c r="E14" s="6" t="n">
        <v>1267.3446</v>
      </c>
    </row>
    <row r="15" ht="15" customHeight="1">
      <c r="A15" s="7" t="inlineStr">
        <is>
          <t>— SLOW TRAFFIC SCENARIOS —</t>
        </is>
      </c>
    </row>
    <row r="16" ht="14" customHeight="1">
      <c r="A16" s="8" t="inlineStr">
        <is>
          <t>Slow 1</t>
        </is>
      </c>
      <c r="B16" s="9" t="n">
        <v>79.3883</v>
      </c>
      <c r="C16" s="9" t="n">
        <v>30.1174</v>
      </c>
      <c r="D16" s="9" t="n">
        <v>15.9149</v>
      </c>
      <c r="E16" s="9" t="n">
        <v>2807.0818</v>
      </c>
    </row>
    <row r="17" ht="14" customHeight="1">
      <c r="A17" s="8" t="inlineStr">
        <is>
          <t>Slow 2</t>
        </is>
      </c>
      <c r="B17" s="9" t="n">
        <v>68.4485</v>
      </c>
      <c r="C17" s="9" t="n">
        <v>30.1492</v>
      </c>
      <c r="D17" s="9" t="n">
        <v>12.3696</v>
      </c>
      <c r="E17" s="9" t="n">
        <v>2682.096</v>
      </c>
    </row>
    <row r="18" ht="14" customHeight="1">
      <c r="A18" s="8" t="inlineStr">
        <is>
          <t>Slow 3</t>
        </is>
      </c>
      <c r="B18" s="9" t="n">
        <v>74.1418</v>
      </c>
      <c r="C18" s="9" t="n">
        <v>29.1643</v>
      </c>
      <c r="D18" s="9" t="n">
        <v>13.5149</v>
      </c>
      <c r="E18" s="9" t="n">
        <v>2615.3142</v>
      </c>
    </row>
    <row r="19" ht="14" customHeight="1">
      <c r="A19" s="8" t="inlineStr">
        <is>
          <t>Slow 4</t>
        </is>
      </c>
      <c r="B19" s="9" t="n">
        <v>112.2533</v>
      </c>
      <c r="C19" s="9" t="n">
        <v>29.8718</v>
      </c>
      <c r="D19" s="9" t="n">
        <v>22.5233</v>
      </c>
      <c r="E19" s="9" t="n">
        <v>2900.6236</v>
      </c>
    </row>
    <row r="20" ht="14" customHeight="1">
      <c r="A20" s="8" t="inlineStr">
        <is>
          <t>Slow 5</t>
        </is>
      </c>
      <c r="B20" s="9" t="n">
        <v>74.8668</v>
      </c>
      <c r="C20" s="9" t="n">
        <v>26.8245</v>
      </c>
      <c r="D20" s="9" t="n">
        <v>14.2995</v>
      </c>
      <c r="E20" s="9" t="n">
        <v>2650.569</v>
      </c>
    </row>
    <row r="21" ht="14" customHeight="1">
      <c r="A21" s="8" t="inlineStr">
        <is>
          <t>Slow 6</t>
        </is>
      </c>
      <c r="B21" s="9" t="n">
        <v>81.7727</v>
      </c>
      <c r="C21" s="9" t="n">
        <v>30.4569</v>
      </c>
      <c r="D21" s="9" t="n">
        <v>16.462</v>
      </c>
      <c r="E21" s="9" t="n">
        <v>2904.0036</v>
      </c>
    </row>
    <row r="22" ht="14" customHeight="1">
      <c r="A22" s="8" t="inlineStr">
        <is>
          <t>Slow 7</t>
        </is>
      </c>
      <c r="B22" s="9" t="n">
        <v>85.8935</v>
      </c>
      <c r="C22" s="9" t="n">
        <v>28.0307</v>
      </c>
      <c r="D22" s="9" t="n">
        <v>18.5436</v>
      </c>
      <c r="E22" s="9" t="n">
        <v>2934.1805</v>
      </c>
    </row>
    <row r="23" ht="14" customHeight="1">
      <c r="A23" s="8" t="inlineStr">
        <is>
          <t>Slow 8</t>
        </is>
      </c>
      <c r="B23" s="9" t="n">
        <v>77.3493</v>
      </c>
      <c r="C23" s="9" t="n">
        <v>30.48</v>
      </c>
      <c r="D23" s="9" t="n">
        <v>13.9286</v>
      </c>
      <c r="E23" s="9" t="n">
        <v>2756.7932</v>
      </c>
    </row>
    <row r="24" ht="14" customHeight="1">
      <c r="A24" s="8" t="inlineStr">
        <is>
          <t>Slow 9</t>
        </is>
      </c>
      <c r="B24" s="9" t="n">
        <v>95.8989</v>
      </c>
      <c r="C24" s="9" t="n">
        <v>30.9205</v>
      </c>
      <c r="D24" s="9" t="n">
        <v>19.8205</v>
      </c>
      <c r="E24" s="9" t="n">
        <v>2898.7117</v>
      </c>
    </row>
    <row r="25" ht="14" customHeight="1">
      <c r="A25" s="8" t="inlineStr">
        <is>
          <t>Slow 10</t>
        </is>
      </c>
      <c r="B25" s="9" t="n">
        <v>76.8824</v>
      </c>
      <c r="C25" s="9" t="n">
        <v>27.8486</v>
      </c>
      <c r="D25" s="9" t="n">
        <v>13.8179</v>
      </c>
      <c r="E25" s="9" t="n">
        <v>2646.2721</v>
      </c>
    </row>
    <row r="26" ht="15" customHeight="1">
      <c r="A26" s="10" t="inlineStr">
        <is>
          <t>— JAM TRAFFIC SCENARIOS —</t>
        </is>
      </c>
    </row>
    <row r="27" ht="14" customHeight="1">
      <c r="A27" s="11" t="inlineStr">
        <is>
          <t>Jam 1</t>
        </is>
      </c>
      <c r="B27" s="12" t="n">
        <v>224.6682</v>
      </c>
      <c r="C27" s="12" t="n">
        <v>34.2207</v>
      </c>
      <c r="D27" s="12" t="n">
        <v>29.0212</v>
      </c>
      <c r="E27" s="12" t="n">
        <v>3526.4572</v>
      </c>
    </row>
    <row r="28" ht="14" customHeight="1">
      <c r="A28" s="11" t="inlineStr">
        <is>
          <t>Jam 2</t>
        </is>
      </c>
      <c r="B28" s="12" t="n">
        <v>227.5699</v>
      </c>
      <c r="C28" s="12" t="n">
        <v>40.1644</v>
      </c>
      <c r="D28" s="12" t="n">
        <v>29.0471</v>
      </c>
      <c r="E28" s="12" t="n">
        <v>3492.3283</v>
      </c>
    </row>
    <row r="29" ht="14" customHeight="1">
      <c r="A29" s="11" t="inlineStr">
        <is>
          <t>Jam 3</t>
        </is>
      </c>
      <c r="B29" s="12" t="n">
        <v>199.2788</v>
      </c>
      <c r="C29" s="12" t="n">
        <v>32.0788</v>
      </c>
      <c r="D29" s="12" t="n">
        <v>29.6444</v>
      </c>
      <c r="E29" s="12" t="n">
        <v>3823.4039</v>
      </c>
    </row>
    <row r="30" ht="14" customHeight="1">
      <c r="A30" s="11" t="inlineStr">
        <is>
          <t>Jam 4</t>
        </is>
      </c>
      <c r="B30" s="12" t="n">
        <v>206.0228</v>
      </c>
      <c r="C30" s="12" t="n">
        <v>34.5201</v>
      </c>
      <c r="D30" s="12" t="n">
        <v>30.5134</v>
      </c>
      <c r="E30" s="12" t="n">
        <v>3806.1556</v>
      </c>
    </row>
    <row r="31" ht="14" customHeight="1">
      <c r="A31" s="11" t="inlineStr">
        <is>
          <t>Jam 5</t>
        </is>
      </c>
      <c r="B31" s="12" t="n">
        <v>208.2083</v>
      </c>
      <c r="C31" s="12" t="n">
        <v>27.171</v>
      </c>
      <c r="D31" s="12" t="n">
        <v>31.5648</v>
      </c>
      <c r="E31" s="12" t="n">
        <v>3892.0012</v>
      </c>
    </row>
    <row r="32" ht="14" customHeight="1">
      <c r="A32" s="11" t="inlineStr">
        <is>
          <t>Jam 6</t>
        </is>
      </c>
      <c r="B32" s="12" t="n">
        <v>173.9055</v>
      </c>
      <c r="C32" s="12" t="n">
        <v>34.4587</v>
      </c>
      <c r="D32" s="12" t="n">
        <v>29.7763</v>
      </c>
      <c r="E32" s="12" t="n">
        <v>3726.2795</v>
      </c>
    </row>
    <row r="33" ht="14" customHeight="1">
      <c r="A33" s="11" t="inlineStr">
        <is>
          <t>Jam 7</t>
        </is>
      </c>
      <c r="B33" s="12" t="n">
        <v>182.3509</v>
      </c>
      <c r="C33" s="12" t="n">
        <v>36.1396</v>
      </c>
      <c r="D33" s="12" t="n">
        <v>32.0772</v>
      </c>
      <c r="E33" s="12" t="n">
        <v>3924.873</v>
      </c>
    </row>
    <row r="34" ht="14" customHeight="1">
      <c r="A34" s="11" t="inlineStr">
        <is>
          <t>Jam 8</t>
        </is>
      </c>
      <c r="B34" s="12" t="n">
        <v>217.2461</v>
      </c>
      <c r="C34" s="12" t="n">
        <v>32.3094</v>
      </c>
      <c r="D34" s="12" t="n">
        <v>29.484</v>
      </c>
      <c r="E34" s="12" t="n">
        <v>3554.2094</v>
      </c>
    </row>
    <row r="35" ht="14" customHeight="1">
      <c r="A35" s="11" t="inlineStr">
        <is>
          <t>Jam 9</t>
        </is>
      </c>
      <c r="B35" s="12" t="n">
        <v>242.6941</v>
      </c>
      <c r="C35" s="12" t="n">
        <v>35.2258</v>
      </c>
      <c r="D35" s="12" t="n">
        <v>29.1093</v>
      </c>
      <c r="E35" s="12" t="n">
        <v>3539.3579</v>
      </c>
    </row>
    <row r="36" ht="14" customHeight="1">
      <c r="A36" s="11" t="inlineStr">
        <is>
          <t>Jam 10</t>
        </is>
      </c>
      <c r="B36" s="12" t="n">
        <v>197.1545</v>
      </c>
      <c r="C36" s="12" t="n">
        <v>32.4526</v>
      </c>
      <c r="D36" s="12" t="n">
        <v>31.4708</v>
      </c>
      <c r="E36" s="12" t="n">
        <v>3644.4386</v>
      </c>
    </row>
    <row r="38" ht="18" customHeight="1">
      <c r="A38" s="13" t="inlineStr">
        <is>
          <t>SCENARIO SUMMARIES</t>
        </is>
      </c>
    </row>
    <row r="39" ht="16" customHeight="1">
      <c r="A39" s="3" t="inlineStr">
        <is>
          <t>Scenario</t>
        </is>
      </c>
      <c r="B39" s="3" t="inlineStr">
        <is>
          <t>Mean Veh. Time Loss (s)</t>
        </is>
      </c>
      <c r="C39" s="3" t="inlineStr">
        <is>
          <t>Mean Ped. Time Loss (s)</t>
        </is>
      </c>
      <c r="D39" s="3" t="inlineStr">
        <is>
          <t>Mean Queue Length (m)</t>
        </is>
      </c>
      <c r="E39" s="3" t="inlineStr">
        <is>
          <t>Throughput (veh/hr)</t>
        </is>
      </c>
    </row>
    <row r="40" ht="14" customHeight="1">
      <c r="A40" s="14" t="inlineStr">
        <is>
          <t>Normal Traffic</t>
        </is>
      </c>
      <c r="B40" s="15">
        <f>AVERAGE(B5:B14)</f>
        <v/>
      </c>
      <c r="C40" s="15">
        <f>AVERAGE(C5:C14)</f>
        <v/>
      </c>
      <c r="D40" s="15">
        <f>AVERAGE(D5:D14)</f>
        <v/>
      </c>
      <c r="E40" s="15">
        <f>AVERAGE(E5:E14)</f>
        <v/>
      </c>
    </row>
    <row r="41" ht="14" customHeight="1">
      <c r="A41" s="16" t="inlineStr">
        <is>
          <t>Slow Traffic</t>
        </is>
      </c>
      <c r="B41" s="17">
        <f>AVERAGE(B16:B25)</f>
        <v/>
      </c>
      <c r="C41" s="17">
        <f>AVERAGE(C16:C25)</f>
        <v/>
      </c>
      <c r="D41" s="17">
        <f>AVERAGE(D16:D25)</f>
        <v/>
      </c>
      <c r="E41" s="17">
        <f>AVERAGE(E16:E25)</f>
        <v/>
      </c>
    </row>
    <row r="42" ht="14" customHeight="1">
      <c r="A42" s="18" t="inlineStr">
        <is>
          <t>Jam Traffic</t>
        </is>
      </c>
      <c r="B42" s="19">
        <f>AVERAGE(B27:B36)</f>
        <v/>
      </c>
      <c r="C42" s="19">
        <f>AVERAGE(C27:C36)</f>
        <v/>
      </c>
      <c r="D42" s="19">
        <f>AVERAGE(D27:D36)</f>
        <v/>
      </c>
      <c r="E42" s="19">
        <f>AVERAGE(E27:E36)</f>
        <v/>
      </c>
    </row>
    <row r="44" ht="16" customHeight="1">
      <c r="A44" s="20" t="inlineStr">
        <is>
          <t>OVERALL MEAN (all 30 runs)</t>
        </is>
      </c>
    </row>
    <row r="45" ht="14" customHeight="1">
      <c r="A45" s="21" t="inlineStr">
        <is>
          <t>All Scenarios</t>
        </is>
      </c>
      <c r="B45" s="22">
        <f>AVERAGE(B5,B6,B7,B8,B9,B10,B11,B12,B13,B14,B16,B17,B18,B19,B20,B21,B22,B23,B24,B25,B27,B28,B29,B30,B31,B32,B33,B34,B35,B36)</f>
        <v/>
      </c>
      <c r="C45" s="22">
        <f>AVERAGE(C5,C6,C7,C8,C9,C10,C11,C12,C13,C14,C16,C17,C18,C19,C20,C21,C22,C23,C24,C25,C27,C28,C29,C30,C31,C32,C33,C34,C35,C36)</f>
        <v/>
      </c>
      <c r="D45" s="22">
        <f>AVERAGE(D5,D6,D7,D8,D9,D10,D11,D12,D13,D14,D16,D17,D18,D19,D20,D21,D22,D23,D24,D25,D27,D28,D29,D30,D31,D32,D33,D34,D35,D36)</f>
        <v/>
      </c>
      <c r="E45" s="22">
        <f>AVERAGE(E5,E6,E7,E8,E9,E10,E11,E12,E13,E14,E16,E17,E18,E19,E20,E21,E22,E23,E24,E25,E27,E28,E29,E30,E31,E32,E33,E34,E35,E36)</f>
        <v/>
      </c>
    </row>
  </sheetData>
  <mergeCells count="7">
    <mergeCell ref="A4:E4"/>
    <mergeCell ref="A26:E26"/>
    <mergeCell ref="A38:E38"/>
    <mergeCell ref="A2:E2"/>
    <mergeCell ref="A15:E15"/>
    <mergeCell ref="A1:E1"/>
    <mergeCell ref="A44:E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2026-03-20T11:38:11Z</dcterms:created>
  <dcterms:modified xsi:type="dcterms:W3CDTF">2026-03-20T11:38:11Z</dcterms:modified>
</cp:coreProperties>
</file>
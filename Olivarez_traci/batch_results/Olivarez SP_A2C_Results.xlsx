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 A2C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color rgb="00333333"/>
      <sz val="10"/>
    </font>
    <font>
      <name val="Arial"/>
      <sz val="10"/>
    </font>
    <font>
      <name val="Arial"/>
      <b val="1"/>
      <color rgb="002E4057"/>
      <sz val="11"/>
    </font>
    <font>
      <name val="Arial"/>
      <b val="1"/>
      <sz val="10"/>
    </font>
    <font>
      <name val="Arial"/>
      <b val="1"/>
      <color rgb="001B5E20"/>
      <sz val="10"/>
    </font>
  </fonts>
  <fills count="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6E4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2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2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2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2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2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2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  <col width="22" customWidth="1" min="4" max="4"/>
    <col width="22" customWidth="1" min="5" max="5"/>
  </cols>
  <sheetData>
    <row r="1" ht="24" customHeight="1">
      <c r="A1" s="1" t="inlineStr">
        <is>
          <t>Signalized Pedestrian — A2C Batch Test Results</t>
        </is>
      </c>
    </row>
    <row r="2" ht="16" customHeight="1">
      <c r="A2" s="2" t="inlineStr">
        <is>
          <t>30 Runs  |  10 Normal  •  10 Slow  •  10 Traffic Jam  |  A2C trained model (test mode)</t>
        </is>
      </c>
    </row>
    <row r="3" ht="18" customHeight="1">
      <c r="A3" s="3" t="inlineStr">
        <is>
          <t>Run</t>
        </is>
      </c>
      <c r="B3" s="3" t="inlineStr">
        <is>
          <t>Mean Veh. Time Loss (s)</t>
        </is>
      </c>
      <c r="C3" s="3" t="inlineStr">
        <is>
          <t>Mean Ped. Time Loss (s)</t>
        </is>
      </c>
      <c r="D3" s="3" t="inlineStr">
        <is>
          <t>Mean Queue Length (m)</t>
        </is>
      </c>
      <c r="E3" s="3" t="inlineStr">
        <is>
          <t>Throughput (veh/hr)</t>
        </is>
      </c>
    </row>
    <row r="4" ht="15" customHeight="1">
      <c r="A4" s="4" t="inlineStr">
        <is>
          <t>— NORMAL TRAFFIC SCENARIOS —</t>
        </is>
      </c>
    </row>
    <row r="5" ht="14" customHeight="1">
      <c r="A5" s="5" t="inlineStr">
        <is>
          <t>Normal 1</t>
        </is>
      </c>
      <c r="B5" s="6" t="n">
        <v>29.4326</v>
      </c>
      <c r="C5" s="6" t="n">
        <v>47.4245</v>
      </c>
      <c r="D5" s="6" t="n">
        <v>1.0766</v>
      </c>
      <c r="E5" s="6" t="n">
        <v>1897.232</v>
      </c>
    </row>
    <row r="6" ht="14" customHeight="1">
      <c r="A6" s="5" t="inlineStr">
        <is>
          <t>Normal 2</t>
        </is>
      </c>
      <c r="B6" s="6" t="n">
        <v>30.2038</v>
      </c>
      <c r="C6" s="6" t="n">
        <v>47.4689</v>
      </c>
      <c r="D6" s="6" t="n">
        <v>1.1732</v>
      </c>
      <c r="E6" s="6" t="n">
        <v>2011.4192</v>
      </c>
    </row>
    <row r="7" ht="14" customHeight="1">
      <c r="A7" s="5" t="inlineStr">
        <is>
          <t>Normal 3</t>
        </is>
      </c>
      <c r="B7" s="6" t="n">
        <v>29.2591</v>
      </c>
      <c r="C7" s="6" t="n">
        <v>47.6952</v>
      </c>
      <c r="D7" s="6" t="n">
        <v>0.9694</v>
      </c>
      <c r="E7" s="6" t="n">
        <v>2049.5365</v>
      </c>
    </row>
    <row r="8" ht="14" customHeight="1">
      <c r="A8" s="5" t="inlineStr">
        <is>
          <t>Normal 4</t>
        </is>
      </c>
      <c r="B8" s="6" t="n">
        <v>27.0493</v>
      </c>
      <c r="C8" s="6" t="n">
        <v>47.9113</v>
      </c>
      <c r="D8" s="6" t="n">
        <v>0.7933</v>
      </c>
      <c r="E8" s="6" t="n">
        <v>1842.6273</v>
      </c>
    </row>
    <row r="9" ht="14" customHeight="1">
      <c r="A9" s="5" t="inlineStr">
        <is>
          <t>Normal 5</t>
        </is>
      </c>
      <c r="B9" s="6" t="n">
        <v>29.7634</v>
      </c>
      <c r="C9" s="6" t="n">
        <v>47.451</v>
      </c>
      <c r="D9" s="6" t="n">
        <v>1.0662</v>
      </c>
      <c r="E9" s="6" t="n">
        <v>1978.1833</v>
      </c>
    </row>
    <row r="10" ht="14" customHeight="1">
      <c r="A10" s="5" t="inlineStr">
        <is>
          <t>Normal 6</t>
        </is>
      </c>
      <c r="B10" s="6" t="n">
        <v>30.4051</v>
      </c>
      <c r="C10" s="6" t="n">
        <v>48.3838</v>
      </c>
      <c r="D10" s="6" t="n">
        <v>1.2746</v>
      </c>
      <c r="E10" s="6" t="n">
        <v>1970.8294</v>
      </c>
    </row>
    <row r="11" ht="14" customHeight="1">
      <c r="A11" s="5" t="inlineStr">
        <is>
          <t>Normal 7</t>
        </is>
      </c>
      <c r="B11" s="6" t="n">
        <v>29.8249</v>
      </c>
      <c r="C11" s="6" t="n">
        <v>48.0422</v>
      </c>
      <c r="D11" s="6" t="n">
        <v>0.9324</v>
      </c>
      <c r="E11" s="6" t="n">
        <v>1931.8138</v>
      </c>
    </row>
    <row r="12" ht="14" customHeight="1">
      <c r="A12" s="5" t="inlineStr">
        <is>
          <t>Normal 8</t>
        </is>
      </c>
      <c r="B12" s="6" t="n">
        <v>29.9294</v>
      </c>
      <c r="C12" s="6" t="n">
        <v>47.3385</v>
      </c>
      <c r="D12" s="6" t="n">
        <v>1.0252</v>
      </c>
      <c r="E12" s="6" t="n">
        <v>2045.2369</v>
      </c>
    </row>
    <row r="13" ht="14" customHeight="1">
      <c r="A13" s="5" t="inlineStr">
        <is>
          <t>Normal 9</t>
        </is>
      </c>
      <c r="B13" s="6" t="n">
        <v>30.2485</v>
      </c>
      <c r="C13" s="6" t="n">
        <v>47.601</v>
      </c>
      <c r="D13" s="6" t="n">
        <v>1.3458</v>
      </c>
      <c r="E13" s="6" t="n">
        <v>2010.5384</v>
      </c>
    </row>
    <row r="14" ht="14" customHeight="1">
      <c r="A14" s="5" t="inlineStr">
        <is>
          <t>Normal 10</t>
        </is>
      </c>
      <c r="B14" s="6" t="n">
        <v>27.6696</v>
      </c>
      <c r="C14" s="6" t="n">
        <v>47.1497</v>
      </c>
      <c r="D14" s="6" t="n">
        <v>0.8816000000000001</v>
      </c>
      <c r="E14" s="6" t="n">
        <v>1908.6826</v>
      </c>
    </row>
    <row r="15" ht="15" customHeight="1">
      <c r="A15" s="7" t="inlineStr">
        <is>
          <t>— SLOW TRAFFIC SCENARIOS —</t>
        </is>
      </c>
    </row>
    <row r="16" ht="14" customHeight="1">
      <c r="A16" s="8" t="inlineStr">
        <is>
          <t>Slow 1</t>
        </is>
      </c>
      <c r="B16" s="9" t="n">
        <v>48.9545</v>
      </c>
      <c r="C16" s="9" t="n">
        <v>50.0459</v>
      </c>
      <c r="D16" s="9" t="n">
        <v>4.9506</v>
      </c>
      <c r="E16" s="9" t="n">
        <v>3835.725</v>
      </c>
    </row>
    <row r="17" ht="14" customHeight="1">
      <c r="A17" s="8" t="inlineStr">
        <is>
          <t>Slow 2</t>
        </is>
      </c>
      <c r="B17" s="9" t="n">
        <v>48.1856</v>
      </c>
      <c r="C17" s="9" t="n">
        <v>51.2508</v>
      </c>
      <c r="D17" s="9" t="n">
        <v>4.7879</v>
      </c>
      <c r="E17" s="9" t="n">
        <v>3704.0131</v>
      </c>
    </row>
    <row r="18" ht="14" customHeight="1">
      <c r="A18" s="8" t="inlineStr">
        <is>
          <t>Slow 3</t>
        </is>
      </c>
      <c r="B18" s="9" t="n">
        <v>46.7356</v>
      </c>
      <c r="C18" s="9" t="n">
        <v>51.4493</v>
      </c>
      <c r="D18" s="9" t="n">
        <v>4.0152</v>
      </c>
      <c r="E18" s="9" t="n">
        <v>3724.5449</v>
      </c>
    </row>
    <row r="19" ht="14" customHeight="1">
      <c r="A19" s="8" t="inlineStr">
        <is>
          <t>Slow 4</t>
        </is>
      </c>
      <c r="B19" s="9" t="n">
        <v>59.072</v>
      </c>
      <c r="C19" s="9" t="n">
        <v>51.9678</v>
      </c>
      <c r="D19" s="9" t="n">
        <v>6.9367</v>
      </c>
      <c r="E19" s="9" t="n">
        <v>3858.8837</v>
      </c>
    </row>
    <row r="20" ht="14" customHeight="1">
      <c r="A20" s="8" t="inlineStr">
        <is>
          <t>Slow 5</t>
        </is>
      </c>
      <c r="B20" s="9" t="n">
        <v>48.089</v>
      </c>
      <c r="C20" s="9" t="n">
        <v>50.746</v>
      </c>
      <c r="D20" s="9" t="n">
        <v>4.4127</v>
      </c>
      <c r="E20" s="9" t="n">
        <v>3634.8364</v>
      </c>
    </row>
    <row r="21" ht="14" customHeight="1">
      <c r="A21" s="8" t="inlineStr">
        <is>
          <t>Slow 6</t>
        </is>
      </c>
      <c r="B21" s="9" t="n">
        <v>56.2347</v>
      </c>
      <c r="C21" s="9" t="n">
        <v>58.3857</v>
      </c>
      <c r="D21" s="9" t="n">
        <v>6.0138</v>
      </c>
      <c r="E21" s="9" t="n">
        <v>3935.0688</v>
      </c>
    </row>
    <row r="22" ht="14" customHeight="1">
      <c r="A22" s="8" t="inlineStr">
        <is>
          <t>Slow 7</t>
        </is>
      </c>
      <c r="B22" s="9" t="n">
        <v>47.1356</v>
      </c>
      <c r="C22" s="9" t="n">
        <v>50.2074</v>
      </c>
      <c r="D22" s="9" t="n">
        <v>4.7354</v>
      </c>
      <c r="E22" s="9" t="n">
        <v>3804.3621</v>
      </c>
    </row>
    <row r="23" ht="14" customHeight="1">
      <c r="A23" s="8" t="inlineStr">
        <is>
          <t>Slow 8</t>
        </is>
      </c>
      <c r="B23" s="9" t="n">
        <v>58.8999</v>
      </c>
      <c r="C23" s="9" t="n">
        <v>50.6991</v>
      </c>
      <c r="D23" s="9" t="n">
        <v>6.8085</v>
      </c>
      <c r="E23" s="9" t="n">
        <v>3961.5509</v>
      </c>
    </row>
    <row r="24" ht="14" customHeight="1">
      <c r="A24" s="8" t="inlineStr">
        <is>
          <t>Slow 9</t>
        </is>
      </c>
      <c r="B24" s="9" t="n">
        <v>55.3802</v>
      </c>
      <c r="C24" s="9" t="n">
        <v>53.9137</v>
      </c>
      <c r="D24" s="9" t="n">
        <v>5.574</v>
      </c>
      <c r="E24" s="9" t="n">
        <v>3917.9909</v>
      </c>
    </row>
    <row r="25" ht="14" customHeight="1">
      <c r="A25" s="8" t="inlineStr">
        <is>
          <t>Slow 10</t>
        </is>
      </c>
      <c r="B25" s="9" t="n">
        <v>66.93380000000001</v>
      </c>
      <c r="C25" s="9" t="n">
        <v>53.8989</v>
      </c>
      <c r="D25" s="9" t="n">
        <v>8.188599999999999</v>
      </c>
      <c r="E25" s="9" t="n">
        <v>3881.7022</v>
      </c>
    </row>
    <row r="26" ht="15" customHeight="1">
      <c r="A26" s="10" t="inlineStr">
        <is>
          <t>— JAM TRAFFIC SCENARIOS —</t>
        </is>
      </c>
    </row>
    <row r="27" ht="14" customHeight="1">
      <c r="A27" s="11" t="inlineStr">
        <is>
          <t>Jam 1</t>
        </is>
      </c>
      <c r="B27" s="12" t="n">
        <v>263.8609</v>
      </c>
      <c r="C27" s="12" t="n">
        <v>56.3856</v>
      </c>
      <c r="D27" s="12" t="n">
        <v>26.3605</v>
      </c>
      <c r="E27" s="12" t="n">
        <v>5528.1129</v>
      </c>
    </row>
    <row r="28" ht="14" customHeight="1">
      <c r="A28" s="11" t="inlineStr">
        <is>
          <t>Jam 2</t>
        </is>
      </c>
      <c r="B28" s="12" t="n">
        <v>245.8866</v>
      </c>
      <c r="C28" s="12" t="n">
        <v>45.3003</v>
      </c>
      <c r="D28" s="12" t="n">
        <v>24.1383</v>
      </c>
      <c r="E28" s="12" t="n">
        <v>5469.3286</v>
      </c>
    </row>
    <row r="29" ht="14" customHeight="1">
      <c r="A29" s="11" t="inlineStr">
        <is>
          <t>Jam 3</t>
        </is>
      </c>
      <c r="B29" s="12" t="n">
        <v>237.5035</v>
      </c>
      <c r="C29" s="12" t="n">
        <v>47.7582</v>
      </c>
      <c r="D29" s="12" t="n">
        <v>25.937</v>
      </c>
      <c r="E29" s="12" t="n">
        <v>5789.1179</v>
      </c>
    </row>
    <row r="30" ht="14" customHeight="1">
      <c r="A30" s="11" t="inlineStr">
        <is>
          <t>Jam 4</t>
        </is>
      </c>
      <c r="B30" s="12" t="n">
        <v>243.2058</v>
      </c>
      <c r="C30" s="12" t="n">
        <v>48.9663</v>
      </c>
      <c r="D30" s="12" t="n">
        <v>24.4396</v>
      </c>
      <c r="E30" s="12" t="n">
        <v>5862.2042</v>
      </c>
    </row>
    <row r="31" ht="14" customHeight="1">
      <c r="A31" s="11" t="inlineStr">
        <is>
          <t>Jam 5</t>
        </is>
      </c>
      <c r="B31" s="12" t="n">
        <v>199.8709</v>
      </c>
      <c r="C31" s="12" t="n">
        <v>49.6031</v>
      </c>
      <c r="D31" s="12" t="n">
        <v>26.0267</v>
      </c>
      <c r="E31" s="12" t="n">
        <v>6119.5842</v>
      </c>
    </row>
    <row r="32" ht="14" customHeight="1">
      <c r="A32" s="11" t="inlineStr">
        <is>
          <t>Jam 6</t>
        </is>
      </c>
      <c r="B32" s="12" t="n">
        <v>257.6066</v>
      </c>
      <c r="C32" s="12" t="n">
        <v>49.8309</v>
      </c>
      <c r="D32" s="12" t="n">
        <v>24.3816</v>
      </c>
      <c r="E32" s="12" t="n">
        <v>5630.8704</v>
      </c>
    </row>
    <row r="33" ht="14" customHeight="1">
      <c r="A33" s="11" t="inlineStr">
        <is>
          <t>Jam 7</t>
        </is>
      </c>
      <c r="B33" s="12" t="n">
        <v>241.3449</v>
      </c>
      <c r="C33" s="12" t="n">
        <v>59.8516</v>
      </c>
      <c r="D33" s="12" t="n">
        <v>26.6331</v>
      </c>
      <c r="E33" s="12" t="n">
        <v>5940.6729</v>
      </c>
    </row>
    <row r="34" ht="14" customHeight="1">
      <c r="A34" s="11" t="inlineStr">
        <is>
          <t>Jam 8</t>
        </is>
      </c>
      <c r="B34" s="12" t="n">
        <v>256.8802</v>
      </c>
      <c r="C34" s="12" t="n">
        <v>49.3072</v>
      </c>
      <c r="D34" s="12" t="n">
        <v>24.7513</v>
      </c>
      <c r="E34" s="12" t="n">
        <v>5676.0942</v>
      </c>
    </row>
    <row r="35" ht="14" customHeight="1">
      <c r="A35" s="11" t="inlineStr">
        <is>
          <t>Jam 9</t>
        </is>
      </c>
      <c r="B35" s="12" t="n">
        <v>212.5769</v>
      </c>
      <c r="C35" s="12" t="n">
        <v>54.1621</v>
      </c>
      <c r="D35" s="12" t="n">
        <v>24.042</v>
      </c>
      <c r="E35" s="12" t="n">
        <v>5651.3059</v>
      </c>
    </row>
    <row r="36" ht="14" customHeight="1">
      <c r="A36" s="11" t="inlineStr">
        <is>
          <t>Jam 10</t>
        </is>
      </c>
      <c r="B36" s="12" t="n">
        <v>218.6191</v>
      </c>
      <c r="C36" s="12" t="n">
        <v>54.2861</v>
      </c>
      <c r="D36" s="12" t="n">
        <v>24.8439</v>
      </c>
      <c r="E36" s="12" t="n">
        <v>5553.9602</v>
      </c>
    </row>
    <row r="38" ht="18" customHeight="1">
      <c r="A38" s="13" t="inlineStr">
        <is>
          <t>SCENARIO SUMMARIES</t>
        </is>
      </c>
    </row>
    <row r="39" ht="16" customHeight="1">
      <c r="A39" s="3" t="inlineStr">
        <is>
          <t>Scenario</t>
        </is>
      </c>
      <c r="B39" s="3" t="inlineStr">
        <is>
          <t>Mean Veh. Time Loss (s)</t>
        </is>
      </c>
      <c r="C39" s="3" t="inlineStr">
        <is>
          <t>Mean Ped. Time Loss (s)</t>
        </is>
      </c>
      <c r="D39" s="3" t="inlineStr">
        <is>
          <t>Mean Queue Length (m)</t>
        </is>
      </c>
      <c r="E39" s="3" t="inlineStr">
        <is>
          <t>Throughput (veh/hr)</t>
        </is>
      </c>
    </row>
    <row r="40" ht="14" customHeight="1">
      <c r="A40" s="14" t="inlineStr">
        <is>
          <t>Normal Traffic</t>
        </is>
      </c>
      <c r="B40" s="15">
        <f>AVERAGE(B5:B14)</f>
        <v/>
      </c>
      <c r="C40" s="15">
        <f>AVERAGE(C5:C14)</f>
        <v/>
      </c>
      <c r="D40" s="15">
        <f>AVERAGE(D5:D14)</f>
        <v/>
      </c>
      <c r="E40" s="15">
        <f>AVERAGE(E5:E14)</f>
        <v/>
      </c>
    </row>
    <row r="41" ht="14" customHeight="1">
      <c r="A41" s="16" t="inlineStr">
        <is>
          <t>Slow Traffic</t>
        </is>
      </c>
      <c r="B41" s="17">
        <f>AVERAGE(B16:B25)</f>
        <v/>
      </c>
      <c r="C41" s="17">
        <f>AVERAGE(C16:C25)</f>
        <v/>
      </c>
      <c r="D41" s="17">
        <f>AVERAGE(D16:D25)</f>
        <v/>
      </c>
      <c r="E41" s="17">
        <f>AVERAGE(E16:E25)</f>
        <v/>
      </c>
    </row>
    <row r="42" ht="14" customHeight="1">
      <c r="A42" s="18" t="inlineStr">
        <is>
          <t>Jam Traffic</t>
        </is>
      </c>
      <c r="B42" s="19">
        <f>AVERAGE(B27:B36)</f>
        <v/>
      </c>
      <c r="C42" s="19">
        <f>AVERAGE(C27:C36)</f>
        <v/>
      </c>
      <c r="D42" s="19">
        <f>AVERAGE(D27:D36)</f>
        <v/>
      </c>
      <c r="E42" s="19">
        <f>AVERAGE(E27:E36)</f>
        <v/>
      </c>
    </row>
    <row r="44" ht="16" customHeight="1">
      <c r="A44" s="20" t="inlineStr">
        <is>
          <t>OVERALL MEAN (all 30 runs)</t>
        </is>
      </c>
    </row>
    <row r="45" ht="14" customHeight="1">
      <c r="A45" s="21" t="inlineStr">
        <is>
          <t>All Scenarios</t>
        </is>
      </c>
      <c r="B45" s="22">
        <f>AVERAGE(B5,B6,B7,B8,B9,B10,B11,B12,B13,B14,B16,B17,B18,B19,B20,B21,B22,B23,B24,B25,B27,B28,B29,B30,B31,B32,B33,B34,B35,B36)</f>
        <v/>
      </c>
      <c r="C45" s="22">
        <f>AVERAGE(C5,C6,C7,C8,C9,C10,C11,C12,C13,C14,C16,C17,C18,C19,C20,C21,C22,C23,C24,C25,C27,C28,C29,C30,C31,C32,C33,C34,C35,C36)</f>
        <v/>
      </c>
      <c r="D45" s="22">
        <f>AVERAGE(D5,D6,D7,D8,D9,D10,D11,D12,D13,D14,D16,D17,D18,D19,D20,D21,D22,D23,D24,D25,D27,D28,D29,D30,D31,D32,D33,D34,D35,D36)</f>
        <v/>
      </c>
      <c r="E45" s="22">
        <f>AVERAGE(E5,E6,E7,E8,E9,E10,E11,E12,E13,E14,E16,E17,E18,E19,E20,E21,E22,E23,E24,E25,E27,E28,E29,E30,E31,E32,E33,E34,E35,E36)</f>
        <v/>
      </c>
    </row>
  </sheetData>
  <mergeCells count="7">
    <mergeCell ref="A4:E4"/>
    <mergeCell ref="A26:E26"/>
    <mergeCell ref="A38:E38"/>
    <mergeCell ref="A2:E2"/>
    <mergeCell ref="A15:E15"/>
    <mergeCell ref="A1:E1"/>
    <mergeCell ref="A44:E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2026-03-20T09:54:10Z</dcterms:created>
  <dcterms:modified xsi:type="dcterms:W3CDTF">2026-03-20T09:54:10Z</dcterms:modified>
</cp:coreProperties>
</file>
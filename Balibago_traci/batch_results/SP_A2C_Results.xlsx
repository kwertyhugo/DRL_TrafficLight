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555555"/>
      <sz val="10"/>
    </font>
    <font>
      <name val="Arial"/>
      <b val="1"/>
      <color rgb="00FFFFFF"/>
      <sz val="11"/>
    </font>
    <font>
      <name val="Arial"/>
      <b val="1"/>
      <color rgb="00333333"/>
      <sz val="10"/>
    </font>
    <font>
      <name val="Arial"/>
      <sz val="10"/>
    </font>
    <font>
      <name val="Arial"/>
      <b val="1"/>
      <color rgb="002E4057"/>
      <sz val="11"/>
    </font>
    <font>
      <name val="Arial"/>
      <b val="1"/>
      <sz val="10"/>
    </font>
    <font>
      <name val="Arial"/>
      <b val="1"/>
      <color rgb="001B5E20"/>
      <sz val="10"/>
    </font>
  </fonts>
  <fills count="7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D6E4F7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5E8D4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2" fontId="5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2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2" fontId="5" fillId="5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/>
    </xf>
    <xf numFmtId="2" fontId="7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2" fontId="7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2" fontId="7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2" fontId="7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2" customWidth="1" min="4" max="4"/>
    <col width="20" customWidth="1" min="5" max="5"/>
    <col width="20" customWidth="1" min="6" max="6"/>
    <col width="20" customWidth="1" min="7" max="7"/>
  </cols>
  <sheetData>
    <row r="1" ht="24" customHeight="1">
      <c r="A1" s="1" t="inlineStr">
        <is>
          <t>Balibago Signalized Pedestrian — A2C Batch Test Results</t>
        </is>
      </c>
    </row>
    <row r="2" ht="16" customHeight="1">
      <c r="A2" s="2" t="inlineStr">
        <is>
          <t>30 Runs  |  10 Normal  •  10 Slow  •  10 Jam  |  A2C trained model (test mode)</t>
        </is>
      </c>
    </row>
    <row r="3" ht="18" customHeight="1">
      <c r="A3" s="3" t="inlineStr">
        <is>
          <t>Run</t>
        </is>
      </c>
      <c r="B3" s="3" t="inlineStr">
        <is>
          <t>Mean Veh. Time Loss (s)</t>
        </is>
      </c>
      <c r="C3" s="3" t="inlineStr">
        <is>
          <t>Mean Ped. Time Loss (s)</t>
        </is>
      </c>
      <c r="D3" s="3" t="inlineStr">
        <is>
          <t>Mean Queue Length (m)</t>
        </is>
      </c>
      <c r="E3" s="3" t="inlineStr">
        <is>
          <t>Throughput (veh/hr)</t>
        </is>
      </c>
      <c r="F3" s="3" t="inlineStr">
        <is>
          <t>Mean North Queue (m)</t>
        </is>
      </c>
      <c r="G3" s="3" t="inlineStr">
        <is>
          <t>Mean South Queue (m)</t>
        </is>
      </c>
    </row>
    <row r="4" ht="15" customHeight="1">
      <c r="A4" s="4" t="inlineStr">
        <is>
          <t>— NORMAL TRAFFIC SCENARIOS —</t>
        </is>
      </c>
    </row>
    <row r="5" ht="14" customHeight="1">
      <c r="A5" s="5" t="inlineStr">
        <is>
          <t>Normal 1</t>
        </is>
      </c>
      <c r="B5" s="6" t="n">
        <v>102.8687</v>
      </c>
      <c r="C5" s="6" t="n">
        <v>70.01600000000001</v>
      </c>
      <c r="D5" s="6" t="n">
        <v>2.4764</v>
      </c>
      <c r="E5" s="6" t="n">
        <v>1435.6329</v>
      </c>
      <c r="F5" s="6" t="n">
        <v>3.2517</v>
      </c>
      <c r="G5" s="6" t="n">
        <v>1.2361</v>
      </c>
    </row>
    <row r="6" ht="14" customHeight="1">
      <c r="A6" s="5" t="inlineStr">
        <is>
          <t>Normal 2</t>
        </is>
      </c>
      <c r="B6" s="6" t="n">
        <v>104.3565</v>
      </c>
      <c r="C6" s="6" t="n">
        <v>68.4483</v>
      </c>
      <c r="D6" s="6" t="n">
        <v>2.5774</v>
      </c>
      <c r="E6" s="6" t="n">
        <v>1428.233</v>
      </c>
      <c r="F6" s="6" t="n">
        <v>3.442</v>
      </c>
      <c r="G6" s="6" t="n">
        <v>1.1941</v>
      </c>
    </row>
    <row r="7" ht="14" customHeight="1">
      <c r="A7" s="5" t="inlineStr">
        <is>
          <t>Normal 3</t>
        </is>
      </c>
      <c r="B7" s="6" t="n">
        <v>101.0031</v>
      </c>
      <c r="C7" s="6" t="n">
        <v>67.9164</v>
      </c>
      <c r="D7" s="6" t="n">
        <v>2.2566</v>
      </c>
      <c r="E7" s="6" t="n">
        <v>1425.0252</v>
      </c>
      <c r="F7" s="6" t="n">
        <v>2.984</v>
      </c>
      <c r="G7" s="6" t="n">
        <v>1.0928</v>
      </c>
    </row>
    <row r="8" ht="14" customHeight="1">
      <c r="A8" s="5" t="inlineStr">
        <is>
          <t>Normal 4</t>
        </is>
      </c>
      <c r="B8" s="6" t="n">
        <v>104.9952</v>
      </c>
      <c r="C8" s="6" t="n">
        <v>67.8139</v>
      </c>
      <c r="D8" s="6" t="n">
        <v>2.4266</v>
      </c>
      <c r="E8" s="6" t="n">
        <v>1436.0337</v>
      </c>
      <c r="F8" s="6" t="n">
        <v>3.3274</v>
      </c>
      <c r="G8" s="6" t="n">
        <v>0.9852</v>
      </c>
    </row>
    <row r="9" ht="14" customHeight="1">
      <c r="A9" s="5" t="inlineStr">
        <is>
          <t>Normal 5</t>
        </is>
      </c>
      <c r="B9" s="6" t="n">
        <v>103.8423</v>
      </c>
      <c r="C9" s="6" t="n">
        <v>68.6341</v>
      </c>
      <c r="D9" s="6" t="n">
        <v>2.3541</v>
      </c>
      <c r="E9" s="6" t="n">
        <v>1436.8857</v>
      </c>
      <c r="F9" s="6" t="n">
        <v>3.1266</v>
      </c>
      <c r="G9" s="6" t="n">
        <v>1.1182</v>
      </c>
    </row>
    <row r="10" ht="14" customHeight="1">
      <c r="A10" s="5" t="inlineStr">
        <is>
          <t>Normal 6</t>
        </is>
      </c>
      <c r="B10" s="6" t="n">
        <v>103.29</v>
      </c>
      <c r="C10" s="6" t="n">
        <v>68.2068</v>
      </c>
      <c r="D10" s="6" t="n">
        <v>2.4502</v>
      </c>
      <c r="E10" s="6" t="n">
        <v>1409.4815</v>
      </c>
      <c r="F10" s="6" t="n">
        <v>3.2586</v>
      </c>
      <c r="G10" s="6" t="n">
        <v>1.1568</v>
      </c>
    </row>
    <row r="11" ht="14" customHeight="1">
      <c r="A11" s="5" t="inlineStr">
        <is>
          <t>Normal 7</t>
        </is>
      </c>
      <c r="B11" s="6" t="n">
        <v>100.9173</v>
      </c>
      <c r="C11" s="6" t="n">
        <v>68.4515</v>
      </c>
      <c r="D11" s="6" t="n">
        <v>2.4042</v>
      </c>
      <c r="E11" s="6" t="n">
        <v>1410.2484</v>
      </c>
      <c r="F11" s="6" t="n">
        <v>3.1755</v>
      </c>
      <c r="G11" s="6" t="n">
        <v>1.1701</v>
      </c>
    </row>
    <row r="12" ht="14" customHeight="1">
      <c r="A12" s="5" t="inlineStr">
        <is>
          <t>Normal 8</t>
        </is>
      </c>
      <c r="B12" s="6" t="n">
        <v>102.5073</v>
      </c>
      <c r="C12" s="6" t="n">
        <v>64.6026</v>
      </c>
      <c r="D12" s="6" t="n">
        <v>2.4587</v>
      </c>
      <c r="E12" s="6" t="n">
        <v>1393.6094</v>
      </c>
      <c r="F12" s="6" t="n">
        <v>3.274</v>
      </c>
      <c r="G12" s="6" t="n">
        <v>1.1542</v>
      </c>
    </row>
    <row r="13" ht="14" customHeight="1">
      <c r="A13" s="5" t="inlineStr">
        <is>
          <t>Normal 9</t>
        </is>
      </c>
      <c r="B13" s="6" t="n">
        <v>103.2973</v>
      </c>
      <c r="C13" s="6" t="n">
        <v>68.8013</v>
      </c>
      <c r="D13" s="6" t="n">
        <v>2.4349</v>
      </c>
      <c r="E13" s="6" t="n">
        <v>1438.4885</v>
      </c>
      <c r="F13" s="6" t="n">
        <v>3.1388</v>
      </c>
      <c r="G13" s="6" t="n">
        <v>1.3087</v>
      </c>
    </row>
    <row r="14" ht="14" customHeight="1">
      <c r="A14" s="5" t="inlineStr">
        <is>
          <t>Normal 10</t>
        </is>
      </c>
      <c r="B14" s="6" t="n">
        <v>104.1621</v>
      </c>
      <c r="C14" s="6" t="n">
        <v>68.7333</v>
      </c>
      <c r="D14" s="6" t="n">
        <v>2.716</v>
      </c>
      <c r="E14" s="6" t="n">
        <v>1472.6687</v>
      </c>
      <c r="F14" s="6" t="n">
        <v>3.6208</v>
      </c>
      <c r="G14" s="6" t="n">
        <v>1.2684</v>
      </c>
    </row>
    <row r="15" ht="15" customHeight="1">
      <c r="A15" s="7" t="inlineStr">
        <is>
          <t>— SLOW TRAFFIC SCENARIOS —</t>
        </is>
      </c>
    </row>
    <row r="16" ht="14" customHeight="1">
      <c r="A16" s="8" t="inlineStr">
        <is>
          <t>Slow 1</t>
        </is>
      </c>
      <c r="B16" s="9" t="n">
        <v>108.0047</v>
      </c>
      <c r="C16" s="9" t="n">
        <v>71.20269999999999</v>
      </c>
      <c r="D16" s="9" t="n">
        <v>5.3583</v>
      </c>
      <c r="E16" s="9" t="n">
        <v>2851.2385</v>
      </c>
      <c r="F16" s="9" t="n">
        <v>7.1597</v>
      </c>
      <c r="G16" s="9" t="n">
        <v>2.476</v>
      </c>
    </row>
    <row r="17" ht="14" customHeight="1">
      <c r="A17" s="8" t="inlineStr">
        <is>
          <t>Slow 2</t>
        </is>
      </c>
      <c r="B17" s="9" t="n">
        <v>103.1436</v>
      </c>
      <c r="C17" s="9" t="n">
        <v>70.1404</v>
      </c>
      <c r="D17" s="9" t="n">
        <v>4.7536</v>
      </c>
      <c r="E17" s="9" t="n">
        <v>2841.3365</v>
      </c>
      <c r="F17" s="9" t="n">
        <v>6.3526</v>
      </c>
      <c r="G17" s="9" t="n">
        <v>2.195</v>
      </c>
    </row>
    <row r="18" ht="14" customHeight="1">
      <c r="A18" s="8" t="inlineStr">
        <is>
          <t>Slow 3</t>
        </is>
      </c>
      <c r="B18" s="9" t="n">
        <v>109.2098</v>
      </c>
      <c r="C18" s="9" t="n">
        <v>80.6009</v>
      </c>
      <c r="D18" s="9" t="n">
        <v>5</v>
      </c>
      <c r="E18" s="9" t="n">
        <v>2744.0969</v>
      </c>
      <c r="F18" s="9" t="n">
        <v>6.8587</v>
      </c>
      <c r="G18" s="9" t="n">
        <v>2.0259</v>
      </c>
    </row>
    <row r="19" ht="14" customHeight="1">
      <c r="A19" s="8" t="inlineStr">
        <is>
          <t>Slow 4</t>
        </is>
      </c>
      <c r="B19" s="9" t="n">
        <v>103.4219</v>
      </c>
      <c r="C19" s="9" t="n">
        <v>71.8878</v>
      </c>
      <c r="D19" s="9" t="n">
        <v>4.9343</v>
      </c>
      <c r="E19" s="9" t="n">
        <v>2772.865</v>
      </c>
      <c r="F19" s="9" t="n">
        <v>6.5386</v>
      </c>
      <c r="G19" s="9" t="n">
        <v>2.3676</v>
      </c>
    </row>
    <row r="20" ht="14" customHeight="1">
      <c r="A20" s="8" t="inlineStr">
        <is>
          <t>Slow 5</t>
        </is>
      </c>
      <c r="B20" s="9" t="n">
        <v>104.8768</v>
      </c>
      <c r="C20" s="9" t="n">
        <v>3108.5378</v>
      </c>
      <c r="D20" s="9" t="n">
        <v>1.5349</v>
      </c>
      <c r="E20" s="9" t="n">
        <v>874.6321</v>
      </c>
      <c r="F20" s="9" t="n">
        <v>2.0533</v>
      </c>
      <c r="G20" s="9" t="n">
        <v>0.7054</v>
      </c>
    </row>
    <row r="21" ht="14" customHeight="1">
      <c r="A21" s="8" t="inlineStr">
        <is>
          <t>Slow 6</t>
        </is>
      </c>
      <c r="B21" s="9" t="n">
        <v>103.6269</v>
      </c>
      <c r="C21" s="9" t="n">
        <v>73.3173</v>
      </c>
      <c r="D21" s="9" t="n">
        <v>5.059</v>
      </c>
      <c r="E21" s="9" t="n">
        <v>2822.0577</v>
      </c>
      <c r="F21" s="9" t="n">
        <v>6.8995</v>
      </c>
      <c r="G21" s="9" t="n">
        <v>2.1142</v>
      </c>
    </row>
    <row r="22" ht="14" customHeight="1">
      <c r="A22" s="8" t="inlineStr">
        <is>
          <t>Slow 7</t>
        </is>
      </c>
      <c r="B22" s="9" t="n">
        <v>99.0925</v>
      </c>
      <c r="C22" s="9" t="n">
        <v>985.3284</v>
      </c>
      <c r="D22" s="9" t="n">
        <v>2.0349</v>
      </c>
      <c r="E22" s="9" t="n">
        <v>1193.076</v>
      </c>
      <c r="F22" s="9" t="n">
        <v>2.6895</v>
      </c>
      <c r="G22" s="9" t="n">
        <v>0.9875</v>
      </c>
    </row>
    <row r="23" ht="14" customHeight="1">
      <c r="A23" s="8" t="inlineStr">
        <is>
          <t>Slow 8</t>
        </is>
      </c>
      <c r="B23" s="9" t="n">
        <v>105.3531</v>
      </c>
      <c r="C23" s="9" t="n">
        <v>70.6854</v>
      </c>
      <c r="D23" s="9" t="n">
        <v>5.2903</v>
      </c>
      <c r="E23" s="9" t="n">
        <v>2842.2187</v>
      </c>
      <c r="F23" s="9" t="n">
        <v>6.94</v>
      </c>
      <c r="G23" s="9" t="n">
        <v>2.6508</v>
      </c>
    </row>
    <row r="24" ht="14" customHeight="1">
      <c r="A24" s="8" t="inlineStr">
        <is>
          <t>Slow 9</t>
        </is>
      </c>
      <c r="B24" s="9" t="n">
        <v>105.8011</v>
      </c>
      <c r="C24" s="9" t="n">
        <v>85.09229999999999</v>
      </c>
      <c r="D24" s="9" t="n">
        <v>4.9132</v>
      </c>
      <c r="E24" s="9" t="n">
        <v>2692.8305</v>
      </c>
      <c r="F24" s="9" t="n">
        <v>6.5068</v>
      </c>
      <c r="G24" s="9" t="n">
        <v>2.3635</v>
      </c>
    </row>
    <row r="25" ht="14" customHeight="1">
      <c r="A25" s="8" t="inlineStr">
        <is>
          <t>Slow 10</t>
        </is>
      </c>
      <c r="B25" s="9" t="n">
        <v>106.7685</v>
      </c>
      <c r="C25" s="9" t="n">
        <v>73.2963</v>
      </c>
      <c r="D25" s="9" t="n">
        <v>5.311</v>
      </c>
      <c r="E25" s="9" t="n">
        <v>2831.48</v>
      </c>
      <c r="F25" s="9" t="n">
        <v>6.9587</v>
      </c>
      <c r="G25" s="9" t="n">
        <v>2.6748</v>
      </c>
    </row>
    <row r="26" ht="15" customHeight="1">
      <c r="A26" s="10" t="inlineStr">
        <is>
          <t>— JAM TRAFFIC SCENARIOS —</t>
        </is>
      </c>
    </row>
    <row r="27" ht="14" customHeight="1">
      <c r="A27" s="11" t="inlineStr">
        <is>
          <t>Jam 1</t>
        </is>
      </c>
      <c r="B27" s="12" t="n">
        <v>133.8023</v>
      </c>
      <c r="C27" s="12" t="n">
        <v>87.586</v>
      </c>
      <c r="D27" s="12" t="n">
        <v>7.8451</v>
      </c>
      <c r="E27" s="12" t="n">
        <v>4212.9296</v>
      </c>
      <c r="F27" s="12" t="n">
        <v>10.6589</v>
      </c>
      <c r="G27" s="12" t="n">
        <v>3.3429</v>
      </c>
    </row>
    <row r="28" ht="14" customHeight="1">
      <c r="A28" s="11" t="inlineStr">
        <is>
          <t>Jam 2</t>
        </is>
      </c>
      <c r="B28" s="12" t="n">
        <v>139.7413</v>
      </c>
      <c r="C28" s="12" t="n">
        <v>794.0101</v>
      </c>
      <c r="D28" s="12" t="n">
        <v>3.1709</v>
      </c>
      <c r="E28" s="12" t="n">
        <v>1645.8208</v>
      </c>
      <c r="F28" s="12" t="n">
        <v>4.1912</v>
      </c>
      <c r="G28" s="12" t="n">
        <v>1.5384</v>
      </c>
    </row>
    <row r="29" ht="14" customHeight="1">
      <c r="A29" s="11" t="inlineStr">
        <is>
          <t>Jam 3</t>
        </is>
      </c>
      <c r="B29" s="12" t="n">
        <v>150.6268</v>
      </c>
      <c r="C29" s="12" t="n">
        <v>1629.0672</v>
      </c>
      <c r="D29" s="12" t="n">
        <v>3.0555</v>
      </c>
      <c r="E29" s="12" t="n">
        <v>1724.9848</v>
      </c>
      <c r="F29" s="12" t="n">
        <v>3.9511</v>
      </c>
      <c r="G29" s="12" t="n">
        <v>1.6224</v>
      </c>
    </row>
    <row r="30" ht="14" customHeight="1">
      <c r="A30" s="11" t="inlineStr">
        <is>
          <t>Jam 4</t>
        </is>
      </c>
      <c r="B30" s="12" t="n">
        <v>130.1116</v>
      </c>
      <c r="C30" s="12" t="n">
        <v>88.4933</v>
      </c>
      <c r="D30" s="12" t="n">
        <v>7.3548</v>
      </c>
      <c r="E30" s="12" t="n">
        <v>3912.6028</v>
      </c>
      <c r="F30" s="12" t="n">
        <v>9.4818</v>
      </c>
      <c r="G30" s="12" t="n">
        <v>3.9515</v>
      </c>
    </row>
    <row r="31" ht="14" customHeight="1">
      <c r="A31" s="11" t="inlineStr">
        <is>
          <t>Jam 5</t>
        </is>
      </c>
      <c r="B31" s="12" t="n">
        <v>135.7621</v>
      </c>
      <c r="C31" s="12" t="n">
        <v>83.44119999999999</v>
      </c>
      <c r="D31" s="12" t="n">
        <v>7.5299</v>
      </c>
      <c r="E31" s="12" t="n">
        <v>4153.1205</v>
      </c>
      <c r="F31" s="12" t="n">
        <v>9.9407</v>
      </c>
      <c r="G31" s="12" t="n">
        <v>3.6725</v>
      </c>
    </row>
    <row r="32" ht="14" customHeight="1">
      <c r="A32" s="11" t="inlineStr">
        <is>
          <t>Jam 6</t>
        </is>
      </c>
      <c r="B32" s="12" t="n">
        <v>152.9213</v>
      </c>
      <c r="C32" s="12" t="n">
        <v>1376.879</v>
      </c>
      <c r="D32" s="12" t="n">
        <v>2.7491</v>
      </c>
      <c r="E32" s="12" t="n">
        <v>1412.4324</v>
      </c>
      <c r="F32" s="12" t="n">
        <v>3.6024</v>
      </c>
      <c r="G32" s="12" t="n">
        <v>1.3837</v>
      </c>
    </row>
    <row r="33" ht="14" customHeight="1">
      <c r="A33" s="11" t="inlineStr">
        <is>
          <t>Jam 7</t>
        </is>
      </c>
      <c r="B33" s="12" t="n">
        <v>123.6839</v>
      </c>
      <c r="C33" s="12" t="n">
        <v>80.9709</v>
      </c>
      <c r="D33" s="12" t="n">
        <v>7.638</v>
      </c>
      <c r="E33" s="12" t="n">
        <v>4018.6394</v>
      </c>
      <c r="F33" s="12" t="n">
        <v>10.0204</v>
      </c>
      <c r="G33" s="12" t="n">
        <v>3.8261</v>
      </c>
    </row>
    <row r="34" ht="14" customHeight="1">
      <c r="A34" s="11" t="inlineStr">
        <is>
          <t>Jam 8</t>
        </is>
      </c>
      <c r="B34" s="12" t="n">
        <v>110.4618</v>
      </c>
      <c r="C34" s="12" t="n">
        <v>4767.5</v>
      </c>
      <c r="D34" s="12" t="n">
        <v>1.9728</v>
      </c>
      <c r="E34" s="12" t="n">
        <v>1073.6515</v>
      </c>
      <c r="F34" s="12" t="n">
        <v>2.5483</v>
      </c>
      <c r="G34" s="12" t="n">
        <v>1.0521</v>
      </c>
    </row>
    <row r="35" ht="14" customHeight="1">
      <c r="A35" s="11" t="inlineStr">
        <is>
          <t>Jam 9</t>
        </is>
      </c>
      <c r="B35" s="12" t="n">
        <v>114.7362</v>
      </c>
      <c r="C35" s="12" t="n">
        <v>3241.6248</v>
      </c>
      <c r="D35" s="12" t="n">
        <v>2.1865</v>
      </c>
      <c r="E35" s="12" t="n">
        <v>1134.1245</v>
      </c>
      <c r="F35" s="12" t="n">
        <v>2.9007</v>
      </c>
      <c r="G35" s="12" t="n">
        <v>1.0437</v>
      </c>
    </row>
    <row r="36" ht="14" customHeight="1">
      <c r="A36" s="11" t="inlineStr">
        <is>
          <t>Jam 10</t>
        </is>
      </c>
      <c r="B36" s="12" t="n">
        <v>164.0784</v>
      </c>
      <c r="C36" s="12" t="n">
        <v>93.398</v>
      </c>
      <c r="D36" s="12" t="n">
        <v>7.6239</v>
      </c>
      <c r="E36" s="12" t="n">
        <v>3925.0647</v>
      </c>
      <c r="F36" s="12" t="n">
        <v>10.0252</v>
      </c>
      <c r="G36" s="12" t="n">
        <v>3.7818</v>
      </c>
    </row>
    <row r="38" ht="18" customHeight="1">
      <c r="A38" s="13" t="inlineStr">
        <is>
          <t>SCENARIO SUMMARIES</t>
        </is>
      </c>
    </row>
    <row r="39" ht="16" customHeight="1">
      <c r="A39" s="3" t="inlineStr">
        <is>
          <t>Scenario</t>
        </is>
      </c>
      <c r="B39" s="3" t="inlineStr">
        <is>
          <t>Mean Veh. Time Loss (s)</t>
        </is>
      </c>
      <c r="C39" s="3" t="inlineStr">
        <is>
          <t>Mean Ped. Time Loss (s)</t>
        </is>
      </c>
      <c r="D39" s="3" t="inlineStr">
        <is>
          <t>Mean Queue Length (m)</t>
        </is>
      </c>
      <c r="E39" s="3" t="inlineStr">
        <is>
          <t>Throughput (veh/hr)</t>
        </is>
      </c>
      <c r="F39" s="3" t="inlineStr">
        <is>
          <t>Mean North Queue (m)</t>
        </is>
      </c>
      <c r="G39" s="3" t="inlineStr">
        <is>
          <t>Mean South Queue (m)</t>
        </is>
      </c>
    </row>
    <row r="40" ht="14" customHeight="1">
      <c r="A40" s="14" t="inlineStr">
        <is>
          <t>Normal Traffic</t>
        </is>
      </c>
      <c r="B40" s="15">
        <f>AVERAGE(B5:B14)</f>
        <v/>
      </c>
      <c r="C40" s="15">
        <f>AVERAGE(C5:C14)</f>
        <v/>
      </c>
      <c r="D40" s="15">
        <f>AVERAGE(D5:D14)</f>
        <v/>
      </c>
      <c r="E40" s="15">
        <f>AVERAGE(E5:E14)</f>
        <v/>
      </c>
      <c r="F40" s="15">
        <f>AVERAGE(F5:F14)</f>
        <v/>
      </c>
      <c r="G40" s="15">
        <f>AVERAGE(G5:G14)</f>
        <v/>
      </c>
    </row>
    <row r="41" ht="14" customHeight="1">
      <c r="A41" s="16" t="inlineStr">
        <is>
          <t>Slow Traffic</t>
        </is>
      </c>
      <c r="B41" s="17">
        <f>AVERAGE(B16:B25)</f>
        <v/>
      </c>
      <c r="C41" s="17">
        <f>AVERAGE(C16:C25)</f>
        <v/>
      </c>
      <c r="D41" s="17">
        <f>AVERAGE(D16:D25)</f>
        <v/>
      </c>
      <c r="E41" s="17">
        <f>AVERAGE(E16:E25)</f>
        <v/>
      </c>
      <c r="F41" s="17">
        <f>AVERAGE(F16:F25)</f>
        <v/>
      </c>
      <c r="G41" s="17">
        <f>AVERAGE(G16:G25)</f>
        <v/>
      </c>
    </row>
    <row r="42" ht="14" customHeight="1">
      <c r="A42" s="18" t="inlineStr">
        <is>
          <t>Jam Traffic</t>
        </is>
      </c>
      <c r="B42" s="19">
        <f>AVERAGE(B27:B36)</f>
        <v/>
      </c>
      <c r="C42" s="19">
        <f>AVERAGE(C27:C36)</f>
        <v/>
      </c>
      <c r="D42" s="19">
        <f>AVERAGE(D27:D36)</f>
        <v/>
      </c>
      <c r="E42" s="19">
        <f>AVERAGE(E27:E36)</f>
        <v/>
      </c>
      <c r="F42" s="19">
        <f>AVERAGE(F27:F36)</f>
        <v/>
      </c>
      <c r="G42" s="19">
        <f>AVERAGE(G27:G36)</f>
        <v/>
      </c>
    </row>
    <row r="44" ht="16" customHeight="1">
      <c r="A44" s="20" t="inlineStr">
        <is>
          <t>OVERALL MEAN (all 30 runs)</t>
        </is>
      </c>
    </row>
    <row r="45" ht="14" customHeight="1">
      <c r="A45" s="21" t="inlineStr">
        <is>
          <t>All Scenarios</t>
        </is>
      </c>
      <c r="B45" s="22">
        <f>AVERAGE(B5,B6,B7,B8,B9,B10,B11,B12,B13,B14,B16,B17,B18,B19,B20,B21,B22,B23,B24,B25,B27,B28,B29,B30,B31,B32,B33,B34,B35,B36)</f>
        <v/>
      </c>
      <c r="C45" s="22">
        <f>AVERAGE(C5,C6,C7,C8,C9,C10,C11,C12,C13,C14,C16,C17,C18,C19,C20,C21,C22,C23,C24,C25,C27,C28,C29,C30,C31,C32,C33,C34,C35,C36)</f>
        <v/>
      </c>
      <c r="D45" s="22">
        <f>AVERAGE(D5,D6,D7,D8,D9,D10,D11,D12,D13,D14,D16,D17,D18,D19,D20,D21,D22,D23,D24,D25,D27,D28,D29,D30,D31,D32,D33,D34,D35,D36)</f>
        <v/>
      </c>
      <c r="E45" s="22">
        <f>AVERAGE(E5,E6,E7,E8,E9,E10,E11,E12,E13,E14,E16,E17,E18,E19,E20,E21,E22,E23,E24,E25,E27,E28,E29,E30,E31,E32,E33,E34,E35,E36)</f>
        <v/>
      </c>
      <c r="F45" s="22">
        <f>AVERAGE(F5,F6,F7,F8,F9,F10,F11,F12,F13,F14,F16,F17,F18,F19,F20,F21,F22,F23,F24,F25,F27,F28,F29,F30,F31,F32,F33,F34,F35,F36)</f>
        <v/>
      </c>
      <c r="G45" s="22">
        <f>AVERAGE(G5,G6,G7,G8,G9,G10,G11,G12,G13,G14,G16,G17,G18,G19,G20,G21,G22,G23,G24,G25,G27,G28,G29,G30,G31,G32,G33,G34,G35,G36)</f>
        <v/>
      </c>
    </row>
  </sheetData>
  <mergeCells count="7">
    <mergeCell ref="A44:G44"/>
    <mergeCell ref="A1:G1"/>
    <mergeCell ref="A4:G4"/>
    <mergeCell ref="A26:G26"/>
    <mergeCell ref="A38:G38"/>
    <mergeCell ref="A2:G2"/>
    <mergeCell ref="A15:G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2026-03-20T13:26:56Z</dcterms:created>
  <dcterms:modified xsi:type="dcterms:W3CDTF">2026-03-20T13:26:56Z</dcterms:modified>
</cp:coreProperties>
</file>